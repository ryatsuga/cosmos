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Guilh\Desktop\"/>
    </mc:Choice>
  </mc:AlternateContent>
  <xr:revisionPtr revIDLastSave="0" documentId="13_ncr:1_{8E7F8017-A38C-434B-B2DC-B20E81F6F6A0}" xr6:coauthVersionLast="44" xr6:coauthVersionMax="44" xr10:uidLastSave="{00000000-0000-0000-0000-000000000000}"/>
  <bookViews>
    <workbookView xWindow="-120" yWindow="-120" windowWidth="19440" windowHeight="15150" xr2:uid="{00000000-000D-0000-FFFF-FFFF00000000}"/>
  </bookViews>
  <sheets>
    <sheet name="Listas de itens" sheetId="2" r:id="rId1"/>
  </sheets>
  <definedNames>
    <definedName name="_xlnm.Print_Titles" localSheetId="0">'Listas de itens'!$1:$5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72" i="2" l="1"/>
  <c r="F80" i="2"/>
  <c r="H72" i="2"/>
  <c r="H80" i="2"/>
  <c r="E72" i="2"/>
  <c r="E9" i="2"/>
  <c r="E74" i="2"/>
  <c r="F9" i="2"/>
  <c r="F38" i="2"/>
  <c r="F40" i="2"/>
  <c r="F74" i="2"/>
  <c r="G72" i="2"/>
  <c r="G9" i="2"/>
  <c r="G74" i="2"/>
  <c r="I72" i="2"/>
  <c r="I80" i="2"/>
  <c r="G38" i="2"/>
  <c r="G40" i="2"/>
  <c r="E61" i="2"/>
  <c r="E63" i="2"/>
  <c r="F61" i="2"/>
  <c r="F79" i="2"/>
  <c r="G61" i="2"/>
  <c r="G79" i="2"/>
  <c r="H61" i="2"/>
  <c r="H79" i="2"/>
  <c r="I61" i="2"/>
  <c r="I9" i="2"/>
  <c r="I63" i="2"/>
  <c r="I76" i="2"/>
  <c r="I19" i="2"/>
  <c r="I38" i="2"/>
  <c r="I77" i="2"/>
  <c r="I52" i="2"/>
  <c r="I78" i="2"/>
  <c r="I79" i="2"/>
  <c r="I81" i="2"/>
  <c r="I40" i="2"/>
  <c r="I54" i="2"/>
  <c r="H9" i="2"/>
  <c r="H52" i="2"/>
  <c r="H54" i="2"/>
  <c r="H76" i="2"/>
  <c r="H19" i="2"/>
  <c r="H38" i="2"/>
  <c r="H77" i="2"/>
  <c r="H78" i="2"/>
  <c r="H81" i="2"/>
  <c r="G76" i="2"/>
  <c r="G19" i="2"/>
  <c r="G52" i="2"/>
  <c r="G78" i="2"/>
  <c r="F52" i="2"/>
  <c r="F78" i="2"/>
  <c r="F76" i="2"/>
  <c r="F19" i="2"/>
  <c r="F77" i="2"/>
  <c r="E76" i="2"/>
  <c r="E19" i="2"/>
  <c r="E38" i="2"/>
  <c r="E52" i="2"/>
  <c r="E78" i="2"/>
  <c r="F63" i="2"/>
  <c r="E77" i="2"/>
  <c r="G80" i="2"/>
  <c r="E79" i="2"/>
  <c r="E80" i="2"/>
  <c r="H40" i="2"/>
  <c r="H74" i="2"/>
  <c r="E40" i="2"/>
  <c r="H63" i="2"/>
  <c r="I74" i="2"/>
  <c r="E81" i="2"/>
  <c r="F81" i="2"/>
  <c r="G63" i="2"/>
  <c r="G54" i="2"/>
  <c r="F54" i="2"/>
  <c r="G77" i="2"/>
  <c r="G81" i="2"/>
  <c r="E54" i="2"/>
</calcChain>
</file>

<file path=xl/sharedStrings.xml><?xml version="1.0" encoding="utf-8"?>
<sst xmlns="http://schemas.openxmlformats.org/spreadsheetml/2006/main" count="161" uniqueCount="79">
  <si>
    <t>Receita</t>
  </si>
  <si>
    <t>Salário</t>
  </si>
  <si>
    <t>Aluguel</t>
  </si>
  <si>
    <t>Valor</t>
  </si>
  <si>
    <t>Luz</t>
  </si>
  <si>
    <t>Água</t>
  </si>
  <si>
    <t>Telefone</t>
  </si>
  <si>
    <t xml:space="preserve">Mensalista </t>
  </si>
  <si>
    <t>Telefone Celular</t>
  </si>
  <si>
    <t>Agosto</t>
  </si>
  <si>
    <t>Setembro</t>
  </si>
  <si>
    <t>Outubro</t>
  </si>
  <si>
    <t>Novembro</t>
  </si>
  <si>
    <t>Dezembro</t>
  </si>
  <si>
    <t>Saldo</t>
  </si>
  <si>
    <t>Total</t>
  </si>
  <si>
    <t>Habitação</t>
  </si>
  <si>
    <t>Internet</t>
  </si>
  <si>
    <t>Outros</t>
  </si>
  <si>
    <t>Plano de saúde</t>
  </si>
  <si>
    <t xml:space="preserve">Total despesas fixas </t>
  </si>
  <si>
    <t>Total despesas variáveis</t>
  </si>
  <si>
    <t>Total despesas extras</t>
  </si>
  <si>
    <t>Despesas fixas</t>
  </si>
  <si>
    <t>Despesas variáveis</t>
  </si>
  <si>
    <t>Despesas extras</t>
  </si>
  <si>
    <t>% sobre Receita</t>
  </si>
  <si>
    <t>Despesas adicionais</t>
  </si>
  <si>
    <t>Total despesas adicionais</t>
  </si>
  <si>
    <t>DESPESAS</t>
  </si>
  <si>
    <t>CATEGORIA</t>
  </si>
  <si>
    <t xml:space="preserve">DESPESAS FIXAS
</t>
  </si>
  <si>
    <t xml:space="preserve">DESPESAS VARIÁVEIS
</t>
  </si>
  <si>
    <r>
      <t xml:space="preserve">DESPESAS EXTRAS
</t>
    </r>
    <r>
      <rPr>
        <sz val="14"/>
        <color indexed="9"/>
        <rFont val="Arial"/>
      </rPr>
      <t xml:space="preserve">
</t>
    </r>
  </si>
  <si>
    <t xml:space="preserve">DESPESAS ADICIONAIS
</t>
  </si>
  <si>
    <t>REINVESTIMENTOS</t>
  </si>
  <si>
    <t>Recursos de terceiros</t>
  </si>
  <si>
    <t>Reinvestimento</t>
  </si>
  <si>
    <t>Negócio</t>
  </si>
  <si>
    <t>Registro de patente</t>
  </si>
  <si>
    <t>Estudo de mercado</t>
  </si>
  <si>
    <t>Registro da empresa</t>
  </si>
  <si>
    <t>Quantidade/Mês</t>
  </si>
  <si>
    <t>Não se aplica</t>
  </si>
  <si>
    <t>3</t>
  </si>
  <si>
    <t>Desktops</t>
  </si>
  <si>
    <t>Impressoras</t>
  </si>
  <si>
    <t>Honorários</t>
  </si>
  <si>
    <t>Seguro do imóvel</t>
  </si>
  <si>
    <t>1</t>
  </si>
  <si>
    <t>7</t>
  </si>
  <si>
    <t>Manutenção</t>
  </si>
  <si>
    <t>Reuniões</t>
  </si>
  <si>
    <t>Daily Scrum</t>
  </si>
  <si>
    <t>Sprint Review Meeting</t>
  </si>
  <si>
    <t>Sprint Retrospective</t>
  </si>
  <si>
    <t>Taxa de incubação</t>
  </si>
  <si>
    <t>Depreciação</t>
  </si>
  <si>
    <t>Pesquisas</t>
  </si>
  <si>
    <t>Marketing</t>
  </si>
  <si>
    <t>RECURSOS FINANCEIROS</t>
  </si>
  <si>
    <t>FATURA</t>
  </si>
  <si>
    <t>Despesas</t>
  </si>
  <si>
    <t>RECEITA</t>
  </si>
  <si>
    <r>
      <rPr>
        <b/>
        <sz val="16"/>
        <color rgb="FFFFFFFF"/>
        <rFont val="Arial"/>
        <family val="2"/>
      </rPr>
      <t>APLICAÇÃO NECESSÁRIA</t>
    </r>
    <r>
      <rPr>
        <b/>
        <sz val="16"/>
        <color indexed="9"/>
        <rFont val="Arial"/>
        <family val="2"/>
      </rPr>
      <t xml:space="preserve">
</t>
    </r>
  </si>
  <si>
    <t>Em analise...</t>
  </si>
  <si>
    <t>Fechada</t>
  </si>
  <si>
    <t>Descrição da fatura</t>
  </si>
  <si>
    <t>Aberta</t>
  </si>
  <si>
    <t>Pendente</t>
  </si>
  <si>
    <t>Software</t>
  </si>
  <si>
    <t>2</t>
  </si>
  <si>
    <t>Em definição</t>
  </si>
  <si>
    <t>(Windows 10/Pacote office)</t>
  </si>
  <si>
    <t>(Para limpeza e serviços gerais)</t>
  </si>
  <si>
    <t>(R$428,87/Colaborador)</t>
  </si>
  <si>
    <t>(R$71,42/Colaborador)</t>
  </si>
  <si>
    <t>https://github.com/ryatsuga/cosmos/blob/master/docs/Planilha%20financeira%20de%20desenvolvimento.xlsx</t>
  </si>
  <si>
    <t>Link do documento: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</si>
</sst>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34">
    <font>
      <sz val="10"/>
      <name val="Arial"/>
    </font>
    <font>
      <sz val="10"/>
      <name val="Arial"/>
    </font>
    <font>
      <sz val="8"/>
      <name val="Arial"/>
      <family val="2"/>
    </font>
    <font>
      <b/>
      <sz val="16"/>
      <name val="Comic Sans MS"/>
      <family val="4"/>
    </font>
    <font>
      <b/>
      <sz val="12"/>
      <name val="Comic Sans MS"/>
      <family val="4"/>
    </font>
    <font>
      <b/>
      <sz val="10"/>
      <name val="Comic Sans MS"/>
      <family val="4"/>
    </font>
    <font>
      <sz val="10"/>
      <name val="Comic Sans MS"/>
      <family val="4"/>
    </font>
    <font>
      <sz val="14"/>
      <name val="Comic Sans MS"/>
      <family val="4"/>
    </font>
    <font>
      <sz val="14"/>
      <name val="Myriad Pro"/>
      <family val="2"/>
    </font>
    <font>
      <sz val="10"/>
      <name val="Myriad Pro"/>
      <family val="2"/>
    </font>
    <font>
      <sz val="14"/>
      <name val="Myriad Pro"/>
      <family val="2"/>
    </font>
    <font>
      <sz val="10"/>
      <name val="Myriad Pro"/>
      <family val="2"/>
    </font>
    <font>
      <b/>
      <sz val="14"/>
      <color indexed="9"/>
      <name val="Arial"/>
    </font>
    <font>
      <b/>
      <sz val="18"/>
      <color indexed="9"/>
      <name val="Arial"/>
    </font>
    <font>
      <b/>
      <sz val="10"/>
      <name val="Arial"/>
    </font>
    <font>
      <sz val="10"/>
      <color indexed="23"/>
      <name val="Arial"/>
    </font>
    <font>
      <sz val="12"/>
      <name val="Arial"/>
    </font>
    <font>
      <b/>
      <sz val="10"/>
      <color indexed="9"/>
      <name val="Arial"/>
    </font>
    <font>
      <sz val="14"/>
      <color indexed="9"/>
      <name val="Arial"/>
    </font>
    <font>
      <sz val="14"/>
      <color theme="0"/>
      <name val="Arial"/>
    </font>
    <font>
      <b/>
      <sz val="10"/>
      <color theme="0"/>
      <name val="Arial"/>
    </font>
    <font>
      <b/>
      <sz val="14"/>
      <color rgb="FF00478D"/>
      <name val="Arial"/>
    </font>
    <font>
      <b/>
      <sz val="14"/>
      <color theme="0"/>
      <name val="Arial"/>
    </font>
    <font>
      <sz val="10"/>
      <color theme="1"/>
      <name val="Arial"/>
      <family val="2"/>
    </font>
    <font>
      <sz val="10"/>
      <color indexed="23"/>
      <name val="Arial"/>
      <family val="2"/>
    </font>
    <font>
      <b/>
      <sz val="12"/>
      <color indexed="23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8"/>
      <color indexed="9"/>
      <name val="Arial"/>
      <family val="2"/>
    </font>
    <font>
      <b/>
      <sz val="16"/>
      <color indexed="9"/>
      <name val="Arial"/>
      <family val="2"/>
    </font>
    <font>
      <b/>
      <sz val="16"/>
      <color rgb="FFFFFFFF"/>
      <name val="Arial"/>
      <family val="2"/>
    </font>
    <font>
      <b/>
      <sz val="10"/>
      <color indexed="9"/>
      <name val="Arial"/>
      <family val="2"/>
    </font>
    <font>
      <u/>
      <sz val="10"/>
      <color theme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9026"/>
        <bgColor indexed="64"/>
      </patternFill>
    </fill>
    <fill>
      <patternFill patternType="solid">
        <fgColor rgb="FFFFDD7C"/>
        <bgColor indexed="64"/>
      </patternFill>
    </fill>
    <fill>
      <patternFill patternType="solid">
        <fgColor rgb="FF004486"/>
        <bgColor indexed="64"/>
      </patternFill>
    </fill>
    <fill>
      <patternFill patternType="solid">
        <fgColor rgb="FF007AC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/>
    <xf numFmtId="164" fontId="6" fillId="0" borderId="0" xfId="0" applyNumberFormat="1" applyFont="1" applyBorder="1"/>
    <xf numFmtId="0" fontId="7" fillId="0" borderId="0" xfId="0" applyFont="1" applyBorder="1"/>
    <xf numFmtId="0" fontId="6" fillId="0" borderId="0" xfId="0" applyFont="1"/>
    <xf numFmtId="0" fontId="8" fillId="0" borderId="0" xfId="0" applyFont="1" applyBorder="1"/>
    <xf numFmtId="0" fontId="9" fillId="0" borderId="0" xfId="0" applyFont="1"/>
    <xf numFmtId="0" fontId="9" fillId="0" borderId="0" xfId="0" applyFont="1" applyBorder="1"/>
    <xf numFmtId="164" fontId="9" fillId="0" borderId="0" xfId="0" applyNumberFormat="1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Border="1"/>
    <xf numFmtId="164" fontId="11" fillId="0" borderId="0" xfId="0" applyNumberFormat="1" applyFont="1" applyBorder="1"/>
    <xf numFmtId="0" fontId="19" fillId="3" borderId="0" xfId="0" applyFont="1" applyFill="1" applyBorder="1" applyAlignment="1">
      <alignment horizontal="center"/>
    </xf>
    <xf numFmtId="164" fontId="0" fillId="0" borderId="0" xfId="0" applyNumberFormat="1" applyFont="1"/>
    <xf numFmtId="164" fontId="14" fillId="0" borderId="0" xfId="0" applyNumberFormat="1" applyFont="1" applyBorder="1" applyAlignment="1">
      <alignment horizontal="center"/>
    </xf>
    <xf numFmtId="0" fontId="0" fillId="0" borderId="2" xfId="0" applyFont="1" applyFill="1" applyBorder="1"/>
    <xf numFmtId="0" fontId="0" fillId="0" borderId="3" xfId="0" applyFont="1" applyFill="1" applyBorder="1"/>
    <xf numFmtId="0" fontId="14" fillId="2" borderId="2" xfId="0" applyFont="1" applyFill="1" applyBorder="1"/>
    <xf numFmtId="164" fontId="14" fillId="2" borderId="1" xfId="0" applyNumberFormat="1" applyFont="1" applyFill="1" applyBorder="1" applyAlignment="1">
      <alignment horizontal="right" vertical="center"/>
    </xf>
    <xf numFmtId="0" fontId="0" fillId="0" borderId="0" xfId="0" applyFont="1" applyFill="1"/>
    <xf numFmtId="164" fontId="0" fillId="0" borderId="0" xfId="0" applyNumberFormat="1" applyFont="1" applyFill="1"/>
    <xf numFmtId="0" fontId="16" fillId="0" borderId="0" xfId="0" applyFont="1" applyBorder="1"/>
    <xf numFmtId="0" fontId="16" fillId="0" borderId="0" xfId="0" applyFont="1" applyFill="1" applyBorder="1"/>
    <xf numFmtId="164" fontId="0" fillId="0" borderId="0" xfId="0" applyNumberFormat="1" applyFont="1" applyFill="1" applyBorder="1"/>
    <xf numFmtId="164" fontId="0" fillId="0" borderId="3" xfId="0" applyNumberFormat="1" applyFont="1" applyFill="1" applyBorder="1" applyAlignment="1">
      <alignment horizontal="right"/>
    </xf>
    <xf numFmtId="0" fontId="0" fillId="0" borderId="0" xfId="0" applyFont="1" applyFill="1" applyBorder="1"/>
    <xf numFmtId="0" fontId="14" fillId="2" borderId="0" xfId="0" applyFont="1" applyFill="1" applyBorder="1"/>
    <xf numFmtId="0" fontId="0" fillId="0" borderId="0" xfId="0" applyFont="1" applyBorder="1"/>
    <xf numFmtId="164" fontId="0" fillId="0" borderId="0" xfId="0" applyNumberFormat="1" applyFont="1" applyBorder="1"/>
    <xf numFmtId="0" fontId="0" fillId="0" borderId="1" xfId="0" applyFont="1" applyFill="1" applyBorder="1"/>
    <xf numFmtId="0" fontId="14" fillId="2" borderId="0" xfId="0" applyFont="1" applyFill="1" applyBorder="1" applyAlignment="1">
      <alignment horizontal="left" vertical="center"/>
    </xf>
    <xf numFmtId="164" fontId="14" fillId="2" borderId="0" xfId="0" applyNumberFormat="1" applyFont="1" applyFill="1" applyBorder="1"/>
    <xf numFmtId="9" fontId="14" fillId="2" borderId="0" xfId="1" applyFont="1" applyFill="1" applyBorder="1" applyAlignment="1">
      <alignment horizontal="right"/>
    </xf>
    <xf numFmtId="164" fontId="15" fillId="0" borderId="0" xfId="0" applyNumberFormat="1" applyFont="1" applyFill="1" applyBorder="1"/>
    <xf numFmtId="0" fontId="14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1" xfId="0" applyFont="1" applyFill="1" applyBorder="1"/>
    <xf numFmtId="164" fontId="14" fillId="2" borderId="1" xfId="0" applyNumberFormat="1" applyFont="1" applyFill="1" applyBorder="1"/>
    <xf numFmtId="0" fontId="0" fillId="2" borderId="4" xfId="0" applyFont="1" applyFill="1" applyBorder="1"/>
    <xf numFmtId="164" fontId="17" fillId="3" borderId="4" xfId="0" applyNumberFormat="1" applyFont="1" applyFill="1" applyBorder="1"/>
    <xf numFmtId="0" fontId="19" fillId="4" borderId="0" xfId="0" applyFont="1" applyFill="1" applyBorder="1" applyAlignment="1">
      <alignment horizontal="center"/>
    </xf>
    <xf numFmtId="164" fontId="15" fillId="5" borderId="0" xfId="0" applyNumberFormat="1" applyFont="1" applyFill="1" applyBorder="1"/>
    <xf numFmtId="0" fontId="4" fillId="6" borderId="0" xfId="0" applyFont="1" applyFill="1" applyBorder="1" applyAlignment="1"/>
    <xf numFmtId="164" fontId="5" fillId="6" borderId="0" xfId="0" applyNumberFormat="1" applyFont="1" applyFill="1" applyBorder="1" applyAlignment="1"/>
    <xf numFmtId="0" fontId="6" fillId="6" borderId="0" xfId="0" applyFont="1" applyFill="1" applyBorder="1"/>
    <xf numFmtId="164" fontId="6" fillId="6" borderId="0" xfId="0" applyNumberFormat="1" applyFont="1" applyFill="1" applyBorder="1"/>
    <xf numFmtId="0" fontId="14" fillId="7" borderId="0" xfId="0" applyFont="1" applyFill="1" applyBorder="1"/>
    <xf numFmtId="0" fontId="20" fillId="7" borderId="2" xfId="0" applyFont="1" applyFill="1" applyBorder="1" applyAlignment="1">
      <alignment horizontal="left" vertical="center" indent="1"/>
    </xf>
    <xf numFmtId="0" fontId="20" fillId="0" borderId="0" xfId="0" applyFont="1" applyFill="1" applyBorder="1" applyAlignment="1">
      <alignment horizontal="left" indent="1"/>
    </xf>
    <xf numFmtId="0" fontId="20" fillId="0" borderId="0" xfId="0" applyFont="1" applyFill="1" applyBorder="1" applyAlignment="1">
      <alignment horizontal="left" vertical="center" indent="1"/>
    </xf>
    <xf numFmtId="0" fontId="20" fillId="4" borderId="0" xfId="0" applyFont="1" applyFill="1" applyBorder="1" applyAlignment="1">
      <alignment horizontal="center"/>
    </xf>
    <xf numFmtId="49" fontId="25" fillId="5" borderId="1" xfId="0" applyNumberFormat="1" applyFont="1" applyFill="1" applyBorder="1" applyAlignment="1">
      <alignment horizontal="center"/>
    </xf>
    <xf numFmtId="49" fontId="26" fillId="5" borderId="0" xfId="0" applyNumberFormat="1" applyFont="1" applyFill="1" applyBorder="1" applyAlignment="1">
      <alignment horizontal="center"/>
    </xf>
    <xf numFmtId="0" fontId="27" fillId="0" borderId="1" xfId="0" applyFont="1" applyFill="1" applyBorder="1"/>
    <xf numFmtId="0" fontId="28" fillId="4" borderId="0" xfId="0" applyFont="1" applyFill="1" applyBorder="1" applyAlignment="1">
      <alignment horizontal="center"/>
    </xf>
    <xf numFmtId="0" fontId="28" fillId="7" borderId="2" xfId="0" applyFont="1" applyFill="1" applyBorder="1" applyAlignment="1">
      <alignment horizontal="left" vertical="center" indent="1"/>
    </xf>
    <xf numFmtId="0" fontId="0" fillId="0" borderId="15" xfId="0" applyFont="1" applyFill="1" applyBorder="1"/>
    <xf numFmtId="164" fontId="15" fillId="0" borderId="15" xfId="0" applyNumberFormat="1" applyFont="1" applyFill="1" applyBorder="1" applyAlignment="1">
      <alignment horizontal="right"/>
    </xf>
    <xf numFmtId="0" fontId="14" fillId="2" borderId="4" xfId="0" applyFont="1" applyFill="1" applyBorder="1"/>
    <xf numFmtId="164" fontId="14" fillId="2" borderId="4" xfId="0" applyNumberFormat="1" applyFont="1" applyFill="1" applyBorder="1" applyAlignment="1">
      <alignment horizontal="right" vertical="center"/>
    </xf>
    <xf numFmtId="0" fontId="27" fillId="8" borderId="4" xfId="0" applyFont="1" applyFill="1" applyBorder="1"/>
    <xf numFmtId="164" fontId="27" fillId="8" borderId="4" xfId="0" applyNumberFormat="1" applyFont="1" applyFill="1" applyBorder="1" applyAlignment="1">
      <alignment horizontal="right" vertical="center"/>
    </xf>
    <xf numFmtId="0" fontId="27" fillId="0" borderId="2" xfId="0" applyFont="1" applyFill="1" applyBorder="1"/>
    <xf numFmtId="0" fontId="23" fillId="9" borderId="4" xfId="0" applyFont="1" applyFill="1" applyBorder="1"/>
    <xf numFmtId="164" fontId="23" fillId="9" borderId="4" xfId="0" applyNumberFormat="1" applyFont="1" applyFill="1" applyBorder="1" applyAlignment="1">
      <alignment horizontal="right" vertical="center"/>
    </xf>
    <xf numFmtId="0" fontId="9" fillId="10" borderId="4" xfId="0" applyFont="1" applyFill="1" applyBorder="1"/>
    <xf numFmtId="164" fontId="9" fillId="10" borderId="4" xfId="0" applyNumberFormat="1" applyFont="1" applyFill="1" applyBorder="1"/>
    <xf numFmtId="0" fontId="32" fillId="3" borderId="4" xfId="0" applyFont="1" applyFill="1" applyBorder="1"/>
    <xf numFmtId="164" fontId="15" fillId="0" borderId="1" xfId="0" applyNumberFormat="1" applyFont="1" applyFill="1" applyBorder="1" applyAlignment="1">
      <alignment horizontal="left"/>
    </xf>
    <xf numFmtId="164" fontId="15" fillId="5" borderId="1" xfId="0" applyNumberFormat="1" applyFont="1" applyFill="1" applyBorder="1" applyAlignment="1">
      <alignment horizontal="left"/>
    </xf>
    <xf numFmtId="164" fontId="24" fillId="0" borderId="1" xfId="0" applyNumberFormat="1" applyFont="1" applyFill="1" applyBorder="1" applyAlignment="1">
      <alignment horizontal="left"/>
    </xf>
    <xf numFmtId="164" fontId="24" fillId="5" borderId="1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64" fontId="0" fillId="5" borderId="0" xfId="0" applyNumberFormat="1" applyFont="1" applyFill="1" applyBorder="1" applyAlignment="1">
      <alignment horizontal="left"/>
    </xf>
    <xf numFmtId="164" fontId="15" fillId="0" borderId="0" xfId="0" applyNumberFormat="1" applyFont="1" applyFill="1" applyBorder="1" applyAlignment="1">
      <alignment horizontal="left"/>
    </xf>
    <xf numFmtId="164" fontId="15" fillId="5" borderId="0" xfId="0" applyNumberFormat="1" applyFont="1" applyFill="1" applyBorder="1" applyAlignment="1">
      <alignment horizontal="left"/>
    </xf>
    <xf numFmtId="164" fontId="0" fillId="2" borderId="4" xfId="0" applyNumberFormat="1" applyFont="1" applyFill="1" applyBorder="1" applyAlignment="1">
      <alignment horizontal="left"/>
    </xf>
    <xf numFmtId="0" fontId="9" fillId="11" borderId="16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29" fillId="3" borderId="0" xfId="0" applyFont="1" applyFill="1" applyBorder="1" applyAlignment="1">
      <alignment horizontal="center" vertical="center"/>
    </xf>
    <xf numFmtId="0" fontId="29" fillId="3" borderId="11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/>
    </xf>
    <xf numFmtId="0" fontId="20" fillId="7" borderId="2" xfId="0" applyFont="1" applyFill="1" applyBorder="1" applyAlignment="1">
      <alignment horizontal="left" vertical="center" indent="1"/>
    </xf>
    <xf numFmtId="0" fontId="28" fillId="7" borderId="2" xfId="0" applyFont="1" applyFill="1" applyBorder="1" applyAlignment="1">
      <alignment horizontal="left" vertical="center" indent="1"/>
    </xf>
    <xf numFmtId="0" fontId="12" fillId="3" borderId="0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left" vertical="center" indent="1"/>
    </xf>
    <xf numFmtId="0" fontId="20" fillId="7" borderId="7" xfId="0" applyFont="1" applyFill="1" applyBorder="1" applyAlignment="1">
      <alignment horizontal="left" vertical="center" inden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/>
    <xf numFmtId="0" fontId="22" fillId="6" borderId="0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3" fillId="0" borderId="0" xfId="2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676764</xdr:colOff>
      <xdr:row>0</xdr:row>
      <xdr:rowOff>0</xdr:rowOff>
    </xdr:from>
    <xdr:to>
      <xdr:col>15</xdr:col>
      <xdr:colOff>1091267</xdr:colOff>
      <xdr:row>2</xdr:row>
      <xdr:rowOff>3182</xdr:rowOff>
    </xdr:to>
    <xdr:sp macro="" textlink="">
      <xdr:nvSpPr>
        <xdr:cNvPr id="7" name="Retângulo 4">
          <a:extLst>
            <a:ext uri="{FF2B5EF4-FFF2-40B4-BE49-F238E27FC236}">
              <a16:creationId xmlns:a16="http://schemas.microsoft.com/office/drawing/2014/main" id="{00274614-7E43-48F3-9E9C-AACB7AEC0116}"/>
            </a:ext>
          </a:extLst>
        </xdr:cNvPr>
        <xdr:cNvSpPr/>
      </xdr:nvSpPr>
      <xdr:spPr>
        <a:xfrm>
          <a:off x="2315064" y="0"/>
          <a:ext cx="15111578" cy="2670182"/>
        </a:xfrm>
        <a:prstGeom prst="rect">
          <a:avLst/>
        </a:prstGeom>
        <a:gradFill flip="none" rotWithShape="1">
          <a:gsLst>
            <a:gs pos="50000">
              <a:srgbClr val="004486"/>
            </a:gs>
            <a:gs pos="30000">
              <a:srgbClr val="004486"/>
            </a:gs>
            <a:gs pos="15000">
              <a:srgbClr val="004486"/>
            </a:gs>
            <a:gs pos="0">
              <a:srgbClr val="004486"/>
            </a:gs>
            <a:gs pos="68000">
              <a:srgbClr val="0057A1"/>
            </a:gs>
            <a:gs pos="86000">
              <a:srgbClr val="007AC0"/>
            </a:gs>
            <a:gs pos="100000">
              <a:srgbClr val="00A8E9"/>
            </a:gs>
          </a:gsLst>
          <a:lin ang="18900000" scaled="1"/>
          <a:tileRect/>
        </a:gra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 sz="1350"/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4</xdr:col>
      <xdr:colOff>361950</xdr:colOff>
      <xdr:row>13</xdr:row>
      <xdr:rowOff>123825</xdr:rowOff>
    </xdr:to>
    <xdr:sp macro="" textlink="">
      <xdr:nvSpPr>
        <xdr:cNvPr id="1072" name="Pie 2">
          <a:extLst>
            <a:ext uri="{FF2B5EF4-FFF2-40B4-BE49-F238E27FC236}">
              <a16:creationId xmlns:a16="http://schemas.microsoft.com/office/drawing/2014/main" id="{6A831A38-3FFD-4CAC-980E-693A078395C1}"/>
            </a:ext>
          </a:extLst>
        </xdr:cNvPr>
        <xdr:cNvSpPr>
          <a:spLocks/>
        </xdr:cNvSpPr>
      </xdr:nvSpPr>
      <xdr:spPr bwMode="auto">
        <a:xfrm rot="5400000">
          <a:off x="204787" y="-195262"/>
          <a:ext cx="4238625" cy="4648200"/>
        </a:xfrm>
        <a:custGeom>
          <a:avLst/>
          <a:gdLst>
            <a:gd name="T0" fmla="*/ 0 w 5314229"/>
            <a:gd name="T1" fmla="*/ 2660400 h 5373079"/>
            <a:gd name="T2" fmla="*/ 2660401 w 5314229"/>
            <a:gd name="T3" fmla="*/ 0 h 5373079"/>
            <a:gd name="T4" fmla="*/ 2660401 w 5314229"/>
            <a:gd name="T5" fmla="*/ 2660400 h 5373079"/>
            <a:gd name="T6" fmla="*/ 0 w 5314229"/>
            <a:gd name="T7" fmla="*/ 2660400 h 537307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314229" h="5373079">
              <a:moveTo>
                <a:pt x="0" y="2686540"/>
              </a:moveTo>
              <a:cubicBezTo>
                <a:pt x="0" y="1202805"/>
                <a:pt x="1189631" y="0"/>
                <a:pt x="2657115" y="0"/>
              </a:cubicBezTo>
              <a:lnTo>
                <a:pt x="2657115" y="2686540"/>
              </a:lnTo>
              <a:lnTo>
                <a:pt x="0" y="2686540"/>
              </a:lnTo>
              <a:close/>
            </a:path>
          </a:pathLst>
        </a:custGeom>
        <a:noFill/>
        <a:ln w="9525" cap="flat" cmpd="sng">
          <a:solidFill>
            <a:srgbClr val="FFFFFF"/>
          </a:solidFill>
          <a:prstDash val="solid"/>
          <a:round/>
          <a:headEnd/>
          <a:tailEnd/>
        </a:ln>
        <a:effectLst>
          <a:outerShdw blurRad="40000" dist="23000" dir="5400000" rotWithShape="0">
            <a:srgbClr val="000000">
              <a:alpha val="34998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9525</xdr:colOff>
      <xdr:row>0</xdr:row>
      <xdr:rowOff>0</xdr:rowOff>
    </xdr:from>
    <xdr:to>
      <xdr:col>2</xdr:col>
      <xdr:colOff>695325</xdr:colOff>
      <xdr:row>2</xdr:row>
      <xdr:rowOff>9524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3C9E84C-DF96-4B07-96E1-A6342FFE7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324100" cy="2676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yatsuga/cosmos/blob/master/docs/Planilha%20financeira%20de%20desenvolviment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8"/>
  <sheetViews>
    <sheetView showGridLines="0" tabSelected="1" zoomScaleNormal="100" zoomScaleSheetLayoutView="100" workbookViewId="0">
      <selection activeCell="A5" sqref="A5:D5"/>
    </sheetView>
  </sheetViews>
  <sheetFormatPr defaultColWidth="11.42578125" defaultRowHeight="15"/>
  <cols>
    <col min="1" max="1" width="3.140625" style="3" customWidth="1"/>
    <col min="2" max="2" width="21.42578125" style="3" customWidth="1"/>
    <col min="3" max="3" width="21" style="3" customWidth="1"/>
    <col min="4" max="4" width="18.7109375" style="3" customWidth="1"/>
    <col min="5" max="16" width="16.42578125" style="4" customWidth="1"/>
    <col min="17" max="16384" width="11.42578125" style="3"/>
  </cols>
  <sheetData>
    <row r="1" spans="1:17" ht="54" customHeight="1">
      <c r="A1" s="1"/>
      <c r="B1" s="2"/>
      <c r="C1" s="2"/>
      <c r="D1" s="46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7" ht="156" customHeight="1">
      <c r="D2" s="48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7" s="5" customFormat="1" ht="21" customHeight="1">
      <c r="A3" s="106"/>
      <c r="B3" s="106"/>
      <c r="C3" s="106"/>
      <c r="D3" s="106"/>
      <c r="E3" s="15" t="s">
        <v>9</v>
      </c>
      <c r="F3" s="44" t="s">
        <v>10</v>
      </c>
      <c r="G3" s="15" t="s">
        <v>11</v>
      </c>
      <c r="H3" s="44" t="s">
        <v>12</v>
      </c>
      <c r="I3" s="15" t="s">
        <v>13</v>
      </c>
      <c r="J3" s="11"/>
      <c r="K3" s="7"/>
      <c r="L3" s="7"/>
      <c r="M3" s="7"/>
      <c r="N3" s="7"/>
      <c r="O3" s="7"/>
      <c r="P3" s="7"/>
      <c r="Q3" s="7"/>
    </row>
    <row r="4" spans="1:17" s="6" customFormat="1" ht="15" customHeight="1">
      <c r="A4" s="108" t="s">
        <v>78</v>
      </c>
      <c r="B4" s="109"/>
      <c r="C4" s="109"/>
      <c r="D4" s="109"/>
      <c r="E4" s="16"/>
      <c r="F4" s="16"/>
      <c r="G4" s="16"/>
      <c r="H4" s="16"/>
      <c r="I4" s="16"/>
      <c r="J4" s="12"/>
      <c r="K4" s="8"/>
      <c r="L4" s="8"/>
      <c r="M4" s="8"/>
      <c r="N4" s="8"/>
      <c r="O4" s="8"/>
      <c r="P4" s="8"/>
      <c r="Q4" s="8"/>
    </row>
    <row r="5" spans="1:17" s="6" customFormat="1" ht="15" customHeight="1">
      <c r="A5" s="110" t="s">
        <v>77</v>
      </c>
      <c r="B5" s="109"/>
      <c r="C5" s="109"/>
      <c r="D5" s="109"/>
      <c r="E5" s="17" t="s">
        <v>3</v>
      </c>
      <c r="F5" s="17" t="s">
        <v>3</v>
      </c>
      <c r="G5" s="17" t="s">
        <v>3</v>
      </c>
      <c r="H5" s="17" t="s">
        <v>3</v>
      </c>
      <c r="I5" s="17" t="s">
        <v>3</v>
      </c>
      <c r="J5" s="12"/>
      <c r="K5" s="8"/>
      <c r="L5" s="8"/>
      <c r="M5" s="8"/>
      <c r="N5" s="8"/>
      <c r="O5" s="8"/>
      <c r="P5" s="8"/>
      <c r="Q5" s="8"/>
    </row>
    <row r="6" spans="1:17" ht="15" customHeight="1">
      <c r="A6" s="83" t="s">
        <v>63</v>
      </c>
      <c r="B6" s="107"/>
      <c r="C6" s="107"/>
      <c r="D6" s="66" t="s">
        <v>36</v>
      </c>
      <c r="E6" s="72">
        <v>7973.65</v>
      </c>
      <c r="F6" s="73">
        <v>4026.35</v>
      </c>
      <c r="G6" s="74" t="s">
        <v>72</v>
      </c>
      <c r="H6" s="75" t="s">
        <v>72</v>
      </c>
      <c r="I6" s="74" t="s">
        <v>72</v>
      </c>
      <c r="J6" s="13"/>
      <c r="K6" s="9"/>
      <c r="L6" s="9"/>
      <c r="M6" s="9"/>
      <c r="N6" s="9"/>
      <c r="O6" s="9"/>
      <c r="P6" s="9"/>
      <c r="Q6" s="9"/>
    </row>
    <row r="7" spans="1:17" ht="15" customHeight="1">
      <c r="A7" s="107"/>
      <c r="B7" s="107"/>
      <c r="C7" s="107"/>
      <c r="D7" s="66" t="s">
        <v>37</v>
      </c>
      <c r="E7" s="72">
        <v>0</v>
      </c>
      <c r="F7" s="75" t="s">
        <v>69</v>
      </c>
      <c r="G7" s="74" t="s">
        <v>72</v>
      </c>
      <c r="H7" s="75" t="s">
        <v>72</v>
      </c>
      <c r="I7" s="74" t="s">
        <v>72</v>
      </c>
      <c r="J7" s="13"/>
      <c r="K7" s="9"/>
      <c r="L7" s="9"/>
      <c r="M7" s="9"/>
      <c r="N7" s="9"/>
      <c r="O7" s="9"/>
      <c r="P7" s="9"/>
      <c r="Q7" s="9"/>
    </row>
    <row r="8" spans="1:17" ht="3" customHeight="1">
      <c r="A8" s="107"/>
      <c r="B8" s="107"/>
      <c r="C8" s="107"/>
      <c r="D8" s="60"/>
      <c r="E8" s="61"/>
      <c r="F8" s="61"/>
      <c r="G8" s="61"/>
      <c r="H8" s="61"/>
      <c r="I8" s="61"/>
      <c r="J8" s="13"/>
      <c r="K8" s="9"/>
      <c r="L8" s="9"/>
      <c r="M8" s="9"/>
      <c r="N8" s="9"/>
      <c r="O8" s="9"/>
      <c r="P8" s="9"/>
      <c r="Q8" s="9"/>
    </row>
    <row r="9" spans="1:17" ht="15" customHeight="1">
      <c r="A9" s="107"/>
      <c r="B9" s="107"/>
      <c r="C9" s="107"/>
      <c r="D9" s="62" t="s">
        <v>15</v>
      </c>
      <c r="E9" s="63">
        <f>SUM(E6:E7)</f>
        <v>7973.65</v>
      </c>
      <c r="F9" s="63">
        <f>SUM(F6:F7)</f>
        <v>4026.35</v>
      </c>
      <c r="G9" s="63">
        <f>SUM(G6:G7)</f>
        <v>0</v>
      </c>
      <c r="H9" s="63">
        <f>SUM(H6:H7)</f>
        <v>0</v>
      </c>
      <c r="I9" s="63">
        <f>SUM(I6:I7)</f>
        <v>0</v>
      </c>
      <c r="J9" s="13"/>
      <c r="K9" s="9"/>
      <c r="L9" s="9"/>
      <c r="M9" s="9"/>
      <c r="N9" s="9"/>
      <c r="O9" s="9"/>
      <c r="P9" s="9"/>
      <c r="Q9" s="9"/>
    </row>
    <row r="10" spans="1:17" ht="15" customHeight="1">
      <c r="A10" s="83" t="s">
        <v>60</v>
      </c>
      <c r="B10" s="83"/>
      <c r="C10" s="84"/>
      <c r="D10" s="64" t="s">
        <v>36</v>
      </c>
      <c r="E10" s="65">
        <v>12000</v>
      </c>
      <c r="F10" s="13"/>
      <c r="G10" s="9"/>
      <c r="H10" s="9"/>
      <c r="I10" s="9"/>
      <c r="J10" s="9"/>
      <c r="K10" s="9"/>
      <c r="L10" s="9"/>
      <c r="M10" s="9"/>
      <c r="N10" s="3"/>
      <c r="O10" s="3"/>
      <c r="P10" s="3"/>
    </row>
    <row r="11" spans="1:17" ht="15" customHeight="1">
      <c r="A11" s="83"/>
      <c r="B11" s="83"/>
      <c r="C11" s="84"/>
      <c r="D11" s="64" t="s">
        <v>37</v>
      </c>
      <c r="E11" s="65">
        <v>100000</v>
      </c>
      <c r="F11" s="13"/>
      <c r="G11" s="9"/>
      <c r="H11" s="9"/>
      <c r="I11" s="9"/>
      <c r="J11" s="9"/>
      <c r="K11" s="9"/>
      <c r="L11" s="9"/>
      <c r="M11" s="9"/>
      <c r="N11" s="3"/>
      <c r="O11" s="3"/>
      <c r="P11" s="3"/>
    </row>
    <row r="12" spans="1:17" ht="15" customHeight="1">
      <c r="A12" s="83"/>
      <c r="B12" s="83"/>
      <c r="C12" s="84"/>
      <c r="D12" s="67" t="s">
        <v>15</v>
      </c>
      <c r="E12" s="68">
        <v>112000</v>
      </c>
      <c r="F12" s="13"/>
      <c r="G12" s="9"/>
      <c r="H12" s="9"/>
      <c r="I12" s="9"/>
      <c r="J12" s="9"/>
      <c r="K12" s="9"/>
      <c r="L12" s="9"/>
      <c r="M12" s="9"/>
      <c r="N12" s="3"/>
      <c r="O12" s="3"/>
      <c r="P12" s="3"/>
    </row>
    <row r="13" spans="1:17" s="6" customFormat="1" ht="15.95" customHeight="1">
      <c r="A13" s="104" t="s">
        <v>35</v>
      </c>
      <c r="B13" s="104"/>
      <c r="C13" s="104"/>
      <c r="D13" s="22"/>
      <c r="E13" s="23"/>
      <c r="F13" s="23"/>
      <c r="G13" s="23"/>
      <c r="H13" s="23"/>
      <c r="I13" s="23"/>
      <c r="J13" s="12"/>
      <c r="K13" s="8"/>
      <c r="L13" s="8"/>
      <c r="M13" s="8"/>
      <c r="N13" s="8"/>
      <c r="O13" s="8"/>
      <c r="P13" s="8"/>
      <c r="Q13" s="8"/>
    </row>
    <row r="14" spans="1:17" ht="17.100000000000001" customHeight="1">
      <c r="A14" s="104"/>
      <c r="B14" s="104"/>
      <c r="C14" s="104"/>
      <c r="D14" s="25"/>
      <c r="E14" s="26"/>
      <c r="F14" s="26"/>
      <c r="G14" s="26"/>
      <c r="H14" s="26"/>
      <c r="I14" s="26"/>
      <c r="J14" s="13"/>
      <c r="K14" s="9"/>
      <c r="L14" s="9"/>
      <c r="M14" s="9"/>
      <c r="N14" s="9"/>
      <c r="O14" s="9"/>
      <c r="P14" s="9"/>
      <c r="Q14" s="9"/>
    </row>
    <row r="15" spans="1:17" s="6" customFormat="1" ht="15.95" customHeight="1">
      <c r="A15" s="104"/>
      <c r="B15" s="104"/>
      <c r="C15" s="104"/>
      <c r="D15" s="22"/>
      <c r="E15" s="17"/>
      <c r="F15" s="17"/>
      <c r="G15" s="17"/>
      <c r="H15" s="17"/>
      <c r="I15" s="17"/>
      <c r="J15" s="12"/>
      <c r="K15" s="8"/>
      <c r="L15" s="8"/>
      <c r="M15" s="8"/>
      <c r="N15" s="8"/>
      <c r="O15" s="8"/>
      <c r="P15" s="8"/>
      <c r="Q15" s="8"/>
    </row>
    <row r="16" spans="1:17" ht="15" customHeight="1">
      <c r="A16" s="103" t="s">
        <v>64</v>
      </c>
      <c r="B16" s="103"/>
      <c r="C16" s="103"/>
      <c r="D16" s="66" t="s">
        <v>62</v>
      </c>
      <c r="E16" s="72">
        <v>0</v>
      </c>
      <c r="F16" s="73">
        <v>2855.35</v>
      </c>
      <c r="G16" s="72">
        <v>5712.75</v>
      </c>
      <c r="H16" s="73">
        <v>5712.75</v>
      </c>
      <c r="I16" s="72">
        <v>5712.75</v>
      </c>
      <c r="J16" s="13"/>
      <c r="K16" s="9"/>
      <c r="L16" s="9"/>
      <c r="M16" s="9"/>
      <c r="N16" s="9"/>
      <c r="O16" s="9"/>
      <c r="P16" s="9"/>
      <c r="Q16" s="9"/>
    </row>
    <row r="17" spans="1:17">
      <c r="A17" s="103"/>
      <c r="B17" s="103"/>
      <c r="C17" s="103"/>
      <c r="D17" s="18" t="s">
        <v>18</v>
      </c>
      <c r="E17" s="72">
        <v>0</v>
      </c>
      <c r="F17" s="73">
        <v>0</v>
      </c>
      <c r="G17" s="74" t="s">
        <v>65</v>
      </c>
      <c r="H17" s="75" t="s">
        <v>65</v>
      </c>
      <c r="I17" s="74" t="s">
        <v>65</v>
      </c>
      <c r="J17" s="13"/>
      <c r="K17" s="9"/>
      <c r="L17" s="9"/>
      <c r="M17" s="9"/>
      <c r="N17" s="9"/>
      <c r="O17" s="9"/>
      <c r="P17" s="9"/>
      <c r="Q17" s="9"/>
    </row>
    <row r="18" spans="1:17" ht="3" customHeight="1">
      <c r="A18" s="103"/>
      <c r="B18" s="103"/>
      <c r="C18" s="103"/>
      <c r="D18" s="19"/>
      <c r="E18" s="27"/>
      <c r="F18" s="27"/>
      <c r="G18" s="27"/>
      <c r="H18" s="27"/>
      <c r="I18" s="27"/>
      <c r="J18" s="13"/>
      <c r="K18" s="9"/>
      <c r="L18" s="9"/>
      <c r="M18" s="9"/>
      <c r="N18" s="9"/>
      <c r="O18" s="9"/>
      <c r="P18" s="9"/>
      <c r="Q18" s="9"/>
    </row>
    <row r="19" spans="1:17">
      <c r="A19" s="103"/>
      <c r="B19" s="103"/>
      <c r="C19" s="103"/>
      <c r="D19" s="20" t="s">
        <v>15</v>
      </c>
      <c r="E19" s="21">
        <f>SUM(E16:E17)</f>
        <v>0</v>
      </c>
      <c r="F19" s="21">
        <f>SUM(F16:F17)</f>
        <v>2855.35</v>
      </c>
      <c r="G19" s="21">
        <f>SUM(G16:G17)</f>
        <v>5712.75</v>
      </c>
      <c r="H19" s="21">
        <f>SUM(H16:H17)</f>
        <v>5712.75</v>
      </c>
      <c r="I19" s="21">
        <f>SUM(I16:I17)</f>
        <v>5712.75</v>
      </c>
      <c r="J19" s="13"/>
      <c r="K19" s="9"/>
      <c r="L19" s="9"/>
      <c r="M19" s="9"/>
      <c r="N19" s="9"/>
      <c r="O19" s="9"/>
      <c r="P19" s="9"/>
      <c r="Q19" s="9"/>
    </row>
    <row r="20" spans="1:17" ht="3.75" customHeight="1">
      <c r="A20" s="103"/>
      <c r="B20" s="103"/>
      <c r="C20" s="103"/>
      <c r="D20" s="28"/>
      <c r="E20" s="26"/>
      <c r="F20" s="26"/>
      <c r="G20" s="26"/>
      <c r="H20" s="26"/>
      <c r="I20" s="26"/>
      <c r="J20" s="13"/>
      <c r="K20" s="9"/>
      <c r="L20" s="9"/>
      <c r="M20" s="9"/>
      <c r="N20" s="9"/>
      <c r="O20" s="9"/>
      <c r="P20" s="9"/>
      <c r="Q20" s="9"/>
    </row>
    <row r="21" spans="1:17">
      <c r="A21" s="105" t="s">
        <v>29</v>
      </c>
      <c r="B21" s="105"/>
      <c r="C21" s="105"/>
      <c r="D21" s="30"/>
      <c r="E21" s="31"/>
      <c r="F21" s="31"/>
      <c r="G21" s="31"/>
      <c r="H21" s="31"/>
      <c r="I21" s="31"/>
      <c r="J21" s="13"/>
      <c r="K21" s="9"/>
      <c r="L21" s="9"/>
      <c r="M21" s="9"/>
      <c r="N21" s="9"/>
      <c r="O21" s="9"/>
      <c r="P21" s="9"/>
      <c r="Q21" s="9"/>
    </row>
    <row r="22" spans="1:17" ht="16.5">
      <c r="A22" s="105"/>
      <c r="B22" s="105"/>
      <c r="C22" s="105"/>
      <c r="D22" s="24"/>
      <c r="E22" s="31"/>
      <c r="F22" s="31"/>
      <c r="G22" s="31"/>
      <c r="H22" s="31"/>
      <c r="I22" s="31"/>
      <c r="J22" s="13"/>
      <c r="K22" s="9"/>
      <c r="L22" s="9"/>
      <c r="M22" s="9"/>
      <c r="N22" s="9"/>
      <c r="O22" s="9"/>
      <c r="P22" s="9"/>
      <c r="Q22" s="9"/>
    </row>
    <row r="23" spans="1:17">
      <c r="A23" s="50"/>
      <c r="B23" s="94" t="s">
        <v>30</v>
      </c>
      <c r="C23" s="94"/>
      <c r="D23" s="54" t="s">
        <v>29</v>
      </c>
      <c r="E23" s="17"/>
      <c r="F23" s="17"/>
      <c r="G23" s="17"/>
      <c r="H23" s="17"/>
      <c r="I23" s="17"/>
      <c r="J23" s="58" t="s">
        <v>42</v>
      </c>
      <c r="K23" s="9"/>
      <c r="L23" s="9"/>
      <c r="M23" s="9"/>
      <c r="N23" s="9"/>
      <c r="O23" s="9"/>
      <c r="P23" s="9"/>
      <c r="Q23" s="9"/>
    </row>
    <row r="24" spans="1:17" ht="15.75" customHeight="1">
      <c r="A24" s="100" t="s">
        <v>31</v>
      </c>
      <c r="B24" s="101"/>
      <c r="C24" s="95" t="s">
        <v>16</v>
      </c>
      <c r="D24" s="32" t="s">
        <v>2</v>
      </c>
      <c r="E24" s="72">
        <v>600</v>
      </c>
      <c r="F24" s="73">
        <v>600</v>
      </c>
      <c r="G24" s="72">
        <v>600</v>
      </c>
      <c r="H24" s="73">
        <v>600</v>
      </c>
      <c r="I24" s="72">
        <v>600</v>
      </c>
      <c r="J24" s="55" t="s">
        <v>43</v>
      </c>
      <c r="K24" s="9"/>
      <c r="L24" s="9"/>
      <c r="M24" s="9"/>
      <c r="N24" s="9"/>
      <c r="O24" s="9"/>
      <c r="P24" s="9"/>
      <c r="Q24" s="9"/>
    </row>
    <row r="25" spans="1:17" ht="15.75" customHeight="1">
      <c r="A25" s="102"/>
      <c r="B25" s="102"/>
      <c r="C25" s="95"/>
      <c r="D25" s="57" t="s">
        <v>48</v>
      </c>
      <c r="E25" s="72">
        <v>100</v>
      </c>
      <c r="F25" s="73">
        <v>100</v>
      </c>
      <c r="G25" s="72">
        <v>100</v>
      </c>
      <c r="H25" s="73">
        <v>100</v>
      </c>
      <c r="I25" s="72">
        <v>100</v>
      </c>
      <c r="J25" s="55" t="s">
        <v>43</v>
      </c>
      <c r="K25" s="9"/>
      <c r="L25" s="9"/>
      <c r="M25" s="9"/>
      <c r="N25" s="9"/>
      <c r="O25" s="9"/>
      <c r="P25" s="9"/>
      <c r="Q25" s="9"/>
    </row>
    <row r="26" spans="1:17" ht="15.75" customHeight="1">
      <c r="A26" s="102"/>
      <c r="B26" s="102"/>
      <c r="C26" s="95"/>
      <c r="D26" s="57" t="s">
        <v>7</v>
      </c>
      <c r="E26" s="72">
        <v>200</v>
      </c>
      <c r="F26" s="73">
        <v>200</v>
      </c>
      <c r="G26" s="72">
        <v>200</v>
      </c>
      <c r="H26" s="73">
        <v>200</v>
      </c>
      <c r="I26" s="72">
        <v>200</v>
      </c>
      <c r="J26" s="55" t="s">
        <v>49</v>
      </c>
      <c r="K26" s="81" t="s">
        <v>74</v>
      </c>
      <c r="L26" s="82"/>
      <c r="M26" s="9"/>
      <c r="N26" s="9"/>
      <c r="O26" s="9"/>
      <c r="P26" s="9"/>
      <c r="Q26" s="9"/>
    </row>
    <row r="27" spans="1:17" ht="3.75" customHeight="1">
      <c r="A27" s="102"/>
      <c r="B27" s="102"/>
      <c r="C27" s="52"/>
      <c r="D27" s="28"/>
      <c r="E27" s="76"/>
      <c r="F27" s="77"/>
      <c r="G27" s="76"/>
      <c r="H27" s="77"/>
      <c r="I27" s="76"/>
      <c r="J27" s="56"/>
      <c r="K27" s="9"/>
      <c r="L27" s="9"/>
      <c r="M27" s="9"/>
      <c r="N27" s="9"/>
      <c r="O27" s="9"/>
      <c r="P27" s="9"/>
      <c r="Q27" s="9"/>
    </row>
    <row r="28" spans="1:17" ht="15.75" customHeight="1">
      <c r="A28" s="102"/>
      <c r="B28" s="102"/>
      <c r="C28" s="96" t="s">
        <v>2</v>
      </c>
      <c r="D28" s="57" t="s">
        <v>45</v>
      </c>
      <c r="E28" s="72">
        <v>270</v>
      </c>
      <c r="F28" s="73">
        <v>270</v>
      </c>
      <c r="G28" s="72">
        <v>270</v>
      </c>
      <c r="H28" s="73">
        <v>270</v>
      </c>
      <c r="I28" s="72">
        <v>270</v>
      </c>
      <c r="J28" s="55" t="s">
        <v>44</v>
      </c>
      <c r="K28" s="9"/>
      <c r="L28" s="9"/>
      <c r="M28" s="9"/>
      <c r="N28" s="9"/>
      <c r="O28" s="9"/>
      <c r="P28" s="9"/>
      <c r="Q28" s="9"/>
    </row>
    <row r="29" spans="1:17" ht="15.75" customHeight="1">
      <c r="A29" s="102"/>
      <c r="B29" s="102"/>
      <c r="C29" s="95"/>
      <c r="D29" s="57" t="s">
        <v>46</v>
      </c>
      <c r="E29" s="72">
        <v>57.5</v>
      </c>
      <c r="F29" s="73">
        <v>57.5</v>
      </c>
      <c r="G29" s="72">
        <v>57.5</v>
      </c>
      <c r="H29" s="73">
        <v>57.5</v>
      </c>
      <c r="I29" s="72">
        <v>57.5</v>
      </c>
      <c r="J29" s="55" t="s">
        <v>49</v>
      </c>
      <c r="K29" s="9"/>
      <c r="L29" s="9"/>
      <c r="M29" s="9"/>
      <c r="N29" s="9"/>
      <c r="O29" s="9"/>
      <c r="P29" s="9"/>
      <c r="Q29" s="9"/>
    </row>
    <row r="30" spans="1:17" ht="15.75" customHeight="1">
      <c r="A30" s="102"/>
      <c r="B30" s="102"/>
      <c r="C30" s="95"/>
      <c r="D30" s="57" t="s">
        <v>70</v>
      </c>
      <c r="E30" s="72">
        <v>145.25</v>
      </c>
      <c r="F30" s="73">
        <v>145.25</v>
      </c>
      <c r="G30" s="72">
        <v>145.25</v>
      </c>
      <c r="H30" s="73">
        <v>145.25</v>
      </c>
      <c r="I30" s="72">
        <v>145.25</v>
      </c>
      <c r="J30" s="55" t="s">
        <v>71</v>
      </c>
      <c r="K30" s="81" t="s">
        <v>73</v>
      </c>
      <c r="L30" s="82"/>
      <c r="M30" s="9"/>
      <c r="N30" s="9"/>
      <c r="O30" s="9"/>
      <c r="P30" s="9"/>
      <c r="Q30" s="9"/>
    </row>
    <row r="31" spans="1:17" ht="3.75" customHeight="1">
      <c r="A31" s="102"/>
      <c r="B31" s="102"/>
      <c r="C31" s="52"/>
      <c r="D31" s="28"/>
      <c r="E31" s="76"/>
      <c r="F31" s="77"/>
      <c r="G31" s="76"/>
      <c r="H31" s="77"/>
      <c r="I31" s="76"/>
      <c r="J31" s="56"/>
      <c r="K31" s="9"/>
      <c r="L31" s="9"/>
      <c r="M31" s="9"/>
      <c r="N31" s="9"/>
      <c r="O31" s="9"/>
      <c r="P31" s="9"/>
      <c r="Q31" s="9"/>
    </row>
    <row r="32" spans="1:17" ht="15.75" customHeight="1">
      <c r="A32" s="102"/>
      <c r="B32" s="102"/>
      <c r="C32" s="98" t="s">
        <v>47</v>
      </c>
      <c r="D32" s="57" t="s">
        <v>1</v>
      </c>
      <c r="E32" s="72">
        <v>3000</v>
      </c>
      <c r="F32" s="73">
        <v>3000</v>
      </c>
      <c r="G32" s="72">
        <v>3000</v>
      </c>
      <c r="H32" s="73">
        <v>3000</v>
      </c>
      <c r="I32" s="72">
        <v>3000</v>
      </c>
      <c r="J32" s="55" t="s">
        <v>50</v>
      </c>
      <c r="K32" s="81" t="s">
        <v>75</v>
      </c>
      <c r="L32" s="82"/>
      <c r="M32" s="9"/>
      <c r="N32" s="9"/>
      <c r="O32" s="9"/>
      <c r="P32" s="9"/>
      <c r="Q32" s="9"/>
    </row>
    <row r="33" spans="1:17" ht="15.75" customHeight="1">
      <c r="A33" s="102"/>
      <c r="B33" s="102"/>
      <c r="C33" s="99"/>
      <c r="D33" s="57" t="s">
        <v>19</v>
      </c>
      <c r="E33" s="72">
        <v>500</v>
      </c>
      <c r="F33" s="73">
        <v>500</v>
      </c>
      <c r="G33" s="72">
        <v>500</v>
      </c>
      <c r="H33" s="73">
        <v>500</v>
      </c>
      <c r="I33" s="72">
        <v>500</v>
      </c>
      <c r="J33" s="55" t="s">
        <v>50</v>
      </c>
      <c r="K33" s="81" t="s">
        <v>76</v>
      </c>
      <c r="L33" s="82"/>
      <c r="M33" s="9"/>
      <c r="N33" s="9"/>
      <c r="O33" s="9"/>
      <c r="P33" s="9"/>
      <c r="Q33" s="9"/>
    </row>
    <row r="34" spans="1:17" ht="3.75" customHeight="1">
      <c r="A34" s="102"/>
      <c r="B34" s="102"/>
      <c r="C34" s="52"/>
      <c r="D34" s="28"/>
      <c r="E34" s="76"/>
      <c r="F34" s="77"/>
      <c r="G34" s="76"/>
      <c r="H34" s="77"/>
      <c r="I34" s="76"/>
      <c r="J34" s="56"/>
      <c r="K34" s="9"/>
      <c r="L34" s="9"/>
      <c r="M34" s="9"/>
      <c r="N34" s="9"/>
      <c r="O34" s="9"/>
      <c r="P34" s="9"/>
      <c r="Q34" s="9"/>
    </row>
    <row r="35" spans="1:17" ht="3.75" customHeight="1">
      <c r="A35" s="102"/>
      <c r="B35" s="102"/>
      <c r="C35" s="52"/>
      <c r="D35" s="28"/>
      <c r="E35" s="76"/>
      <c r="F35" s="77"/>
      <c r="G35" s="76"/>
      <c r="H35" s="77"/>
      <c r="I35" s="76"/>
      <c r="J35" s="56"/>
      <c r="K35" s="9"/>
      <c r="L35" s="9"/>
      <c r="M35" s="9"/>
      <c r="N35" s="9"/>
      <c r="O35" s="9"/>
      <c r="P35" s="9"/>
      <c r="Q35" s="9"/>
    </row>
    <row r="36" spans="1:17" ht="15.75" customHeight="1">
      <c r="A36" s="102"/>
      <c r="B36" s="102"/>
      <c r="C36" s="51" t="s">
        <v>18</v>
      </c>
      <c r="D36" s="57" t="s">
        <v>56</v>
      </c>
      <c r="E36" s="72">
        <v>840</v>
      </c>
      <c r="F36" s="73">
        <v>840</v>
      </c>
      <c r="G36" s="72">
        <v>840</v>
      </c>
      <c r="H36" s="73">
        <v>840</v>
      </c>
      <c r="I36" s="72">
        <v>840</v>
      </c>
      <c r="J36" s="55" t="s">
        <v>43</v>
      </c>
      <c r="K36" s="9"/>
      <c r="L36" s="9"/>
      <c r="M36" s="9"/>
      <c r="N36" s="9"/>
      <c r="O36" s="9"/>
      <c r="P36" s="9"/>
      <c r="Q36" s="9"/>
    </row>
    <row r="37" spans="1:17" ht="3.75" customHeight="1">
      <c r="A37" s="102"/>
      <c r="B37" s="102"/>
      <c r="C37" s="28"/>
      <c r="D37" s="28"/>
      <c r="E37" s="26"/>
      <c r="F37" s="26"/>
      <c r="G37" s="26"/>
      <c r="H37" s="26"/>
      <c r="I37" s="26"/>
      <c r="J37" s="13"/>
      <c r="K37" s="9"/>
      <c r="L37" s="9"/>
      <c r="M37" s="9"/>
      <c r="N37" s="9"/>
      <c r="O37" s="9"/>
      <c r="P37" s="9"/>
      <c r="Q37" s="9"/>
    </row>
    <row r="38" spans="1:17" ht="15.75" customHeight="1">
      <c r="A38" s="102"/>
      <c r="B38" s="102"/>
      <c r="C38" s="33" t="s">
        <v>20</v>
      </c>
      <c r="D38" s="29"/>
      <c r="E38" s="34">
        <f>SUM(E24:E37)</f>
        <v>5712.75</v>
      </c>
      <c r="F38" s="34">
        <f>SUM(F24:F37)</f>
        <v>5712.75</v>
      </c>
      <c r="G38" s="34">
        <f>SUM(G24:G37)</f>
        <v>5712.75</v>
      </c>
      <c r="H38" s="34">
        <f>SUM(H24:H37)</f>
        <v>5712.75</v>
      </c>
      <c r="I38" s="34">
        <f>SUM(I24:I37)</f>
        <v>5712.75</v>
      </c>
      <c r="J38" s="13"/>
      <c r="K38" s="9"/>
      <c r="L38" s="9"/>
      <c r="M38" s="9"/>
      <c r="N38" s="9"/>
      <c r="O38" s="9"/>
      <c r="P38" s="9"/>
      <c r="Q38" s="9"/>
    </row>
    <row r="39" spans="1:17" ht="3.75" customHeight="1">
      <c r="A39" s="102"/>
      <c r="B39" s="102"/>
      <c r="C39" s="28"/>
      <c r="D39" s="28"/>
      <c r="E39" s="26"/>
      <c r="F39" s="26"/>
      <c r="G39" s="26"/>
      <c r="H39" s="26"/>
      <c r="I39" s="26"/>
      <c r="J39" s="13"/>
      <c r="K39" s="9"/>
      <c r="L39" s="9"/>
      <c r="M39" s="9"/>
      <c r="N39" s="9"/>
      <c r="O39" s="9"/>
      <c r="P39" s="9"/>
      <c r="Q39" s="9"/>
    </row>
    <row r="40" spans="1:17" ht="15.75" customHeight="1">
      <c r="A40" s="102"/>
      <c r="B40" s="102"/>
      <c r="C40" s="33" t="s">
        <v>26</v>
      </c>
      <c r="D40" s="29"/>
      <c r="E40" s="35">
        <f>E38/E9</f>
        <v>0.71645356894270507</v>
      </c>
      <c r="F40" s="35">
        <f>F38/F9</f>
        <v>1.4188408856656773</v>
      </c>
      <c r="G40" s="35" t="e">
        <f>G38/G9</f>
        <v>#DIV/0!</v>
      </c>
      <c r="H40" s="35" t="e">
        <f>H38/H9</f>
        <v>#DIV/0!</v>
      </c>
      <c r="I40" s="35" t="e">
        <f>I38/I9</f>
        <v>#DIV/0!</v>
      </c>
      <c r="J40" s="13"/>
      <c r="K40" s="9"/>
      <c r="L40" s="9"/>
      <c r="M40" s="9"/>
      <c r="N40" s="9"/>
      <c r="O40" s="9"/>
      <c r="P40" s="9"/>
      <c r="Q40" s="9"/>
    </row>
    <row r="41" spans="1:17" ht="3.75" customHeight="1">
      <c r="A41" s="30"/>
      <c r="B41" s="30"/>
      <c r="C41" s="28"/>
      <c r="D41" s="28"/>
      <c r="E41" s="26"/>
      <c r="F41" s="26"/>
      <c r="G41" s="26"/>
      <c r="H41" s="26"/>
      <c r="I41" s="26"/>
      <c r="J41" s="13"/>
      <c r="K41" s="9"/>
      <c r="L41" s="9"/>
      <c r="M41" s="9"/>
      <c r="N41" s="9"/>
      <c r="O41" s="9"/>
      <c r="P41" s="9"/>
      <c r="Q41" s="9"/>
    </row>
    <row r="42" spans="1:17">
      <c r="A42" s="97" t="s">
        <v>32</v>
      </c>
      <c r="B42" s="97"/>
      <c r="C42" s="95" t="s">
        <v>16</v>
      </c>
      <c r="D42" s="32" t="s">
        <v>4</v>
      </c>
      <c r="E42" s="72">
        <v>90</v>
      </c>
      <c r="F42" s="73">
        <v>84</v>
      </c>
      <c r="G42" s="74" t="s">
        <v>72</v>
      </c>
      <c r="H42" s="75" t="s">
        <v>72</v>
      </c>
      <c r="I42" s="74" t="s">
        <v>72</v>
      </c>
      <c r="J42" s="13"/>
      <c r="K42" s="9"/>
      <c r="L42" s="9"/>
      <c r="M42" s="9"/>
      <c r="N42" s="9"/>
      <c r="O42" s="9"/>
      <c r="P42" s="9"/>
      <c r="Q42" s="9"/>
    </row>
    <row r="43" spans="1:17">
      <c r="A43" s="97"/>
      <c r="B43" s="97"/>
      <c r="C43" s="95"/>
      <c r="D43" s="32" t="s">
        <v>5</v>
      </c>
      <c r="E43" s="72">
        <v>20</v>
      </c>
      <c r="F43" s="73">
        <v>14.35</v>
      </c>
      <c r="G43" s="74" t="s">
        <v>72</v>
      </c>
      <c r="H43" s="75" t="s">
        <v>72</v>
      </c>
      <c r="I43" s="74" t="s">
        <v>72</v>
      </c>
      <c r="J43" s="13"/>
      <c r="K43" s="9"/>
      <c r="L43" s="9"/>
      <c r="M43" s="9"/>
      <c r="N43" s="9"/>
      <c r="O43" s="9"/>
      <c r="P43" s="9"/>
      <c r="Q43" s="9"/>
    </row>
    <row r="44" spans="1:17">
      <c r="A44" s="97"/>
      <c r="B44" s="97"/>
      <c r="C44" s="95"/>
      <c r="D44" s="32" t="s">
        <v>6</v>
      </c>
      <c r="E44" s="72">
        <v>19.899999999999999</v>
      </c>
      <c r="F44" s="73">
        <v>15.5</v>
      </c>
      <c r="G44" s="74" t="s">
        <v>72</v>
      </c>
      <c r="H44" s="75" t="s">
        <v>72</v>
      </c>
      <c r="I44" s="74" t="s">
        <v>72</v>
      </c>
      <c r="J44" s="13"/>
      <c r="K44" s="9"/>
      <c r="L44" s="9"/>
      <c r="M44" s="9"/>
      <c r="N44" s="9"/>
      <c r="O44" s="9"/>
      <c r="P44" s="9"/>
      <c r="Q44" s="9"/>
    </row>
    <row r="45" spans="1:17">
      <c r="A45" s="97"/>
      <c r="B45" s="97"/>
      <c r="C45" s="95"/>
      <c r="D45" s="32" t="s">
        <v>8</v>
      </c>
      <c r="E45" s="72">
        <v>25</v>
      </c>
      <c r="F45" s="73">
        <v>20</v>
      </c>
      <c r="G45" s="74" t="s">
        <v>72</v>
      </c>
      <c r="H45" s="75" t="s">
        <v>72</v>
      </c>
      <c r="I45" s="74" t="s">
        <v>72</v>
      </c>
      <c r="J45" s="13"/>
      <c r="K45" s="9"/>
      <c r="L45" s="9"/>
      <c r="M45" s="9"/>
      <c r="N45" s="9"/>
      <c r="O45" s="9"/>
      <c r="P45" s="9"/>
      <c r="Q45" s="9"/>
    </row>
    <row r="46" spans="1:17">
      <c r="A46" s="97"/>
      <c r="B46" s="97"/>
      <c r="C46" s="95"/>
      <c r="D46" s="32" t="s">
        <v>17</v>
      </c>
      <c r="E46" s="72">
        <v>120</v>
      </c>
      <c r="F46" s="73">
        <v>79</v>
      </c>
      <c r="G46" s="74" t="s">
        <v>72</v>
      </c>
      <c r="H46" s="75" t="s">
        <v>72</v>
      </c>
      <c r="I46" s="74" t="s">
        <v>72</v>
      </c>
      <c r="J46" s="13"/>
      <c r="K46" s="9"/>
      <c r="L46" s="9"/>
      <c r="M46" s="9"/>
      <c r="N46" s="9"/>
      <c r="O46" s="9"/>
      <c r="P46" s="9"/>
      <c r="Q46" s="9"/>
    </row>
    <row r="47" spans="1:17" ht="3.75" customHeight="1">
      <c r="A47" s="97"/>
      <c r="B47" s="97"/>
      <c r="C47" s="52"/>
      <c r="D47" s="28"/>
      <c r="E47" s="78"/>
      <c r="F47" s="79"/>
      <c r="G47" s="74" t="s">
        <v>72</v>
      </c>
      <c r="H47" s="75" t="s">
        <v>72</v>
      </c>
      <c r="I47" s="74" t="s">
        <v>72</v>
      </c>
      <c r="J47" s="13"/>
      <c r="K47" s="9"/>
      <c r="L47" s="9"/>
      <c r="M47" s="9"/>
      <c r="N47" s="9"/>
      <c r="O47" s="9"/>
      <c r="P47" s="9"/>
      <c r="Q47" s="9"/>
    </row>
    <row r="48" spans="1:17">
      <c r="A48" s="97"/>
      <c r="B48" s="97"/>
      <c r="C48" s="96" t="s">
        <v>51</v>
      </c>
      <c r="D48" s="57" t="s">
        <v>45</v>
      </c>
      <c r="E48" s="72">
        <v>35</v>
      </c>
      <c r="F48" s="73">
        <v>10</v>
      </c>
      <c r="G48" s="74" t="s">
        <v>72</v>
      </c>
      <c r="H48" s="75" t="s">
        <v>72</v>
      </c>
      <c r="I48" s="74" t="s">
        <v>72</v>
      </c>
      <c r="J48" s="13"/>
      <c r="K48" s="9"/>
      <c r="L48" s="9"/>
      <c r="M48" s="9"/>
      <c r="N48" s="9"/>
      <c r="O48" s="9"/>
      <c r="P48" s="9"/>
      <c r="Q48" s="9"/>
    </row>
    <row r="49" spans="1:17">
      <c r="A49" s="97"/>
      <c r="B49" s="97"/>
      <c r="C49" s="95"/>
      <c r="D49" s="57" t="s">
        <v>46</v>
      </c>
      <c r="E49" s="72">
        <v>16</v>
      </c>
      <c r="F49" s="73">
        <v>27</v>
      </c>
      <c r="G49" s="74" t="s">
        <v>72</v>
      </c>
      <c r="H49" s="75" t="s">
        <v>72</v>
      </c>
      <c r="I49" s="74" t="s">
        <v>72</v>
      </c>
      <c r="J49" s="13"/>
      <c r="K49" s="9"/>
      <c r="L49" s="9"/>
      <c r="M49" s="9"/>
      <c r="N49" s="9"/>
      <c r="O49" s="9"/>
      <c r="P49" s="9"/>
      <c r="Q49" s="9"/>
    </row>
    <row r="50" spans="1:17" ht="3.75" customHeight="1">
      <c r="A50" s="97"/>
      <c r="B50" s="97"/>
      <c r="C50" s="53"/>
      <c r="D50" s="28"/>
      <c r="E50" s="36"/>
      <c r="F50" s="45"/>
      <c r="G50" s="36"/>
      <c r="H50" s="45"/>
      <c r="I50" s="36"/>
      <c r="J50" s="13"/>
      <c r="K50" s="9"/>
      <c r="L50" s="9"/>
      <c r="M50" s="9"/>
      <c r="N50" s="9"/>
      <c r="O50" s="9"/>
      <c r="P50" s="9"/>
      <c r="Q50" s="9"/>
    </row>
    <row r="51" spans="1:17" ht="3.75" customHeight="1">
      <c r="A51" s="97"/>
      <c r="B51" s="97"/>
      <c r="C51" s="38"/>
      <c r="D51" s="28"/>
      <c r="E51" s="26"/>
      <c r="F51" s="26"/>
      <c r="G51" s="26"/>
      <c r="H51" s="26"/>
      <c r="I51" s="26"/>
      <c r="J51" s="13"/>
      <c r="K51" s="9"/>
      <c r="L51" s="9"/>
      <c r="M51" s="9"/>
      <c r="N51" s="9"/>
      <c r="O51" s="9"/>
      <c r="P51" s="9"/>
      <c r="Q51" s="9"/>
    </row>
    <row r="52" spans="1:17">
      <c r="A52" s="97"/>
      <c r="B52" s="97"/>
      <c r="C52" s="39" t="s">
        <v>21</v>
      </c>
      <c r="D52" s="40"/>
      <c r="E52" s="41">
        <f>SUM(E42:E50)</f>
        <v>325.89999999999998</v>
      </c>
      <c r="F52" s="41">
        <f>SUM(F42:F50)</f>
        <v>249.85</v>
      </c>
      <c r="G52" s="41">
        <f>SUM(G42:G50)</f>
        <v>0</v>
      </c>
      <c r="H52" s="41">
        <f>SUM(H42:H50)</f>
        <v>0</v>
      </c>
      <c r="I52" s="41">
        <f>SUM(I42:I50)</f>
        <v>0</v>
      </c>
      <c r="J52" s="13"/>
      <c r="K52" s="9"/>
      <c r="L52" s="9"/>
      <c r="M52" s="9"/>
      <c r="N52" s="9"/>
      <c r="O52" s="9"/>
      <c r="P52" s="9"/>
      <c r="Q52" s="9"/>
    </row>
    <row r="53" spans="1:17" ht="3.75" customHeight="1">
      <c r="A53" s="97"/>
      <c r="B53" s="97"/>
      <c r="C53" s="28"/>
      <c r="D53" s="28"/>
      <c r="E53" s="26"/>
      <c r="F53" s="26"/>
      <c r="G53" s="26"/>
      <c r="H53" s="26"/>
      <c r="I53" s="26"/>
      <c r="J53" s="13"/>
      <c r="K53" s="9"/>
      <c r="L53" s="9"/>
      <c r="M53" s="9"/>
      <c r="N53" s="9"/>
      <c r="O53" s="9"/>
      <c r="P53" s="9"/>
      <c r="Q53" s="9"/>
    </row>
    <row r="54" spans="1:17">
      <c r="A54" s="97"/>
      <c r="B54" s="97"/>
      <c r="C54" s="33" t="s">
        <v>26</v>
      </c>
      <c r="D54" s="29"/>
      <c r="E54" s="35">
        <f>E52/E9</f>
        <v>4.0872122553661121E-2</v>
      </c>
      <c r="F54" s="35">
        <f>F52/F9</f>
        <v>6.2053721112173554E-2</v>
      </c>
      <c r="G54" s="35" t="e">
        <f>G52/G9</f>
        <v>#DIV/0!</v>
      </c>
      <c r="H54" s="35" t="e">
        <f>H52/H9</f>
        <v>#DIV/0!</v>
      </c>
      <c r="I54" s="35" t="e">
        <f>I52/I9</f>
        <v>#DIV/0!</v>
      </c>
      <c r="J54" s="13"/>
      <c r="K54" s="9"/>
      <c r="L54" s="9"/>
      <c r="M54" s="9"/>
      <c r="N54" s="9"/>
      <c r="O54" s="9"/>
      <c r="P54" s="9"/>
      <c r="Q54" s="9"/>
    </row>
    <row r="55" spans="1:17" ht="3.75" customHeight="1">
      <c r="A55" s="30"/>
      <c r="B55" s="30"/>
      <c r="C55" s="28"/>
      <c r="D55" s="28"/>
      <c r="E55" s="26"/>
      <c r="F55" s="26"/>
      <c r="G55" s="26"/>
      <c r="H55" s="26"/>
      <c r="I55" s="26"/>
      <c r="J55" s="13"/>
      <c r="K55" s="9"/>
      <c r="L55" s="9"/>
      <c r="M55" s="9"/>
      <c r="N55" s="9"/>
      <c r="O55" s="9"/>
      <c r="P55" s="9"/>
      <c r="Q55" s="9"/>
    </row>
    <row r="56" spans="1:17">
      <c r="A56" s="97" t="s">
        <v>33</v>
      </c>
      <c r="B56" s="97"/>
      <c r="C56" s="96" t="s">
        <v>52</v>
      </c>
      <c r="D56" s="57" t="s">
        <v>53</v>
      </c>
      <c r="E56" s="72">
        <v>320</v>
      </c>
      <c r="F56" s="73">
        <v>210</v>
      </c>
      <c r="G56" s="74" t="s">
        <v>72</v>
      </c>
      <c r="H56" s="75" t="s">
        <v>72</v>
      </c>
      <c r="I56" s="74" t="s">
        <v>72</v>
      </c>
      <c r="J56" s="13"/>
      <c r="K56" s="9"/>
      <c r="L56" s="9"/>
      <c r="M56" s="9"/>
      <c r="N56" s="9"/>
      <c r="O56" s="9"/>
      <c r="P56" s="9"/>
      <c r="Q56" s="9"/>
    </row>
    <row r="57" spans="1:17">
      <c r="A57" s="97"/>
      <c r="B57" s="97"/>
      <c r="C57" s="95"/>
      <c r="D57" s="57" t="s">
        <v>54</v>
      </c>
      <c r="E57" s="72">
        <v>125</v>
      </c>
      <c r="F57" s="73">
        <v>45</v>
      </c>
      <c r="G57" s="74" t="s">
        <v>72</v>
      </c>
      <c r="H57" s="75" t="s">
        <v>72</v>
      </c>
      <c r="I57" s="74" t="s">
        <v>72</v>
      </c>
      <c r="J57" s="13"/>
      <c r="K57" s="9"/>
      <c r="L57" s="9"/>
      <c r="M57" s="9"/>
      <c r="N57" s="9"/>
      <c r="O57" s="9"/>
      <c r="P57" s="9"/>
      <c r="Q57" s="9"/>
    </row>
    <row r="58" spans="1:17">
      <c r="A58" s="97"/>
      <c r="B58" s="97"/>
      <c r="C58" s="95"/>
      <c r="D58" s="57" t="s">
        <v>55</v>
      </c>
      <c r="E58" s="72">
        <v>100</v>
      </c>
      <c r="F58" s="73">
        <v>30</v>
      </c>
      <c r="G58" s="74" t="s">
        <v>72</v>
      </c>
      <c r="H58" s="75" t="s">
        <v>72</v>
      </c>
      <c r="I58" s="74" t="s">
        <v>72</v>
      </c>
      <c r="J58" s="13"/>
      <c r="K58" s="9"/>
      <c r="L58" s="9"/>
      <c r="M58" s="9"/>
      <c r="N58" s="9"/>
      <c r="O58" s="9"/>
      <c r="P58" s="9"/>
      <c r="Q58" s="9"/>
    </row>
    <row r="59" spans="1:17" ht="3.75" customHeight="1">
      <c r="A59" s="97"/>
      <c r="B59" s="97"/>
      <c r="C59" s="53"/>
      <c r="D59" s="28"/>
      <c r="E59" s="36"/>
      <c r="F59" s="45"/>
      <c r="G59" s="36"/>
      <c r="H59" s="45"/>
      <c r="I59" s="36"/>
      <c r="J59" s="13"/>
      <c r="K59" s="9"/>
      <c r="L59" s="9"/>
      <c r="M59" s="9"/>
      <c r="N59" s="9"/>
      <c r="O59" s="9"/>
      <c r="P59" s="9"/>
      <c r="Q59" s="9"/>
    </row>
    <row r="60" spans="1:17" ht="3.75" customHeight="1">
      <c r="A60" s="97"/>
      <c r="B60" s="97"/>
      <c r="C60" s="37"/>
      <c r="D60" s="28"/>
      <c r="E60" s="36"/>
      <c r="F60" s="36"/>
      <c r="G60" s="36"/>
      <c r="H60" s="36"/>
      <c r="I60" s="36"/>
      <c r="J60" s="13"/>
      <c r="K60" s="9"/>
      <c r="L60" s="9"/>
      <c r="M60" s="9"/>
      <c r="N60" s="9"/>
      <c r="O60" s="9"/>
      <c r="P60" s="9"/>
      <c r="Q60" s="9"/>
    </row>
    <row r="61" spans="1:17">
      <c r="A61" s="97"/>
      <c r="B61" s="97"/>
      <c r="C61" s="33" t="s">
        <v>22</v>
      </c>
      <c r="D61" s="29"/>
      <c r="E61" s="34">
        <f>SUM(E56:E59)</f>
        <v>545</v>
      </c>
      <c r="F61" s="34">
        <f>SUM(F56:F59)</f>
        <v>285</v>
      </c>
      <c r="G61" s="34">
        <f>SUM(G56:G59)</f>
        <v>0</v>
      </c>
      <c r="H61" s="34">
        <f>SUM(H56:H59)</f>
        <v>0</v>
      </c>
      <c r="I61" s="34">
        <f>SUM(I56:I59)</f>
        <v>0</v>
      </c>
      <c r="J61" s="13"/>
      <c r="K61" s="9"/>
      <c r="L61" s="9"/>
      <c r="M61" s="9"/>
      <c r="N61" s="9"/>
      <c r="O61" s="9"/>
      <c r="P61" s="9"/>
      <c r="Q61" s="9"/>
    </row>
    <row r="62" spans="1:17" ht="3.75" customHeight="1">
      <c r="A62" s="97"/>
      <c r="B62" s="97"/>
      <c r="C62" s="28"/>
      <c r="D62" s="28"/>
      <c r="E62" s="26"/>
      <c r="F62" s="26"/>
      <c r="G62" s="26"/>
      <c r="H62" s="26"/>
      <c r="I62" s="26"/>
      <c r="J62" s="13"/>
      <c r="K62" s="9"/>
      <c r="L62" s="9"/>
      <c r="M62" s="9"/>
      <c r="N62" s="9"/>
      <c r="O62" s="9"/>
      <c r="P62" s="9"/>
      <c r="Q62" s="9"/>
    </row>
    <row r="63" spans="1:17">
      <c r="A63" s="97"/>
      <c r="B63" s="97"/>
      <c r="C63" s="33" t="s">
        <v>26</v>
      </c>
      <c r="D63" s="29"/>
      <c r="E63" s="35">
        <f>E61/E9</f>
        <v>6.8350128234873617E-2</v>
      </c>
      <c r="F63" s="35">
        <f>F61/F9</f>
        <v>7.0783712295255014E-2</v>
      </c>
      <c r="G63" s="35" t="e">
        <f>G61/G9</f>
        <v>#DIV/0!</v>
      </c>
      <c r="H63" s="35" t="e">
        <f>H61/H9</f>
        <v>#DIV/0!</v>
      </c>
      <c r="I63" s="35" t="e">
        <f>I61/I9</f>
        <v>#DIV/0!</v>
      </c>
      <c r="J63" s="13"/>
      <c r="K63" s="9"/>
      <c r="L63" s="9"/>
      <c r="M63" s="9"/>
      <c r="N63" s="9"/>
      <c r="O63" s="9"/>
      <c r="P63" s="9"/>
      <c r="Q63" s="9"/>
    </row>
    <row r="64" spans="1:17" ht="3.75" customHeight="1">
      <c r="A64" s="30"/>
      <c r="B64" s="30"/>
      <c r="C64" s="28"/>
      <c r="D64" s="28"/>
      <c r="E64" s="26"/>
      <c r="F64" s="26"/>
      <c r="G64" s="26"/>
      <c r="H64" s="26"/>
      <c r="I64" s="26"/>
      <c r="J64" s="13"/>
      <c r="K64" s="9"/>
      <c r="L64" s="9"/>
      <c r="M64" s="9"/>
      <c r="N64" s="9"/>
      <c r="O64" s="9"/>
      <c r="P64" s="9"/>
      <c r="Q64" s="9"/>
    </row>
    <row r="65" spans="1:17">
      <c r="A65" s="97" t="s">
        <v>34</v>
      </c>
      <c r="B65" s="97"/>
      <c r="C65" s="95" t="s">
        <v>38</v>
      </c>
      <c r="D65" s="32" t="s">
        <v>39</v>
      </c>
      <c r="E65" s="72">
        <v>142</v>
      </c>
      <c r="F65" s="75">
        <v>0</v>
      </c>
      <c r="G65" s="74" t="s">
        <v>72</v>
      </c>
      <c r="H65" s="75" t="s">
        <v>72</v>
      </c>
      <c r="I65" s="74" t="s">
        <v>72</v>
      </c>
      <c r="J65" s="13"/>
      <c r="K65" s="9"/>
      <c r="L65" s="9"/>
      <c r="M65" s="9"/>
      <c r="N65" s="9"/>
      <c r="O65" s="9"/>
      <c r="P65" s="9"/>
      <c r="Q65" s="9"/>
    </row>
    <row r="66" spans="1:17">
      <c r="A66" s="97"/>
      <c r="B66" s="97"/>
      <c r="C66" s="95"/>
      <c r="D66" s="57" t="s">
        <v>59</v>
      </c>
      <c r="E66" s="72">
        <v>40</v>
      </c>
      <c r="F66" s="75">
        <v>0</v>
      </c>
      <c r="G66" s="74" t="s">
        <v>72</v>
      </c>
      <c r="H66" s="75" t="s">
        <v>72</v>
      </c>
      <c r="I66" s="74" t="s">
        <v>72</v>
      </c>
      <c r="J66" s="13"/>
      <c r="K66" s="9"/>
      <c r="L66" s="9"/>
      <c r="M66" s="9"/>
      <c r="N66" s="9"/>
      <c r="O66" s="9"/>
      <c r="P66" s="9"/>
      <c r="Q66" s="9"/>
    </row>
    <row r="67" spans="1:17">
      <c r="A67" s="97"/>
      <c r="B67" s="97"/>
      <c r="C67" s="95"/>
      <c r="D67" s="32" t="s">
        <v>41</v>
      </c>
      <c r="E67" s="72">
        <v>83.84</v>
      </c>
      <c r="F67" s="75">
        <v>0</v>
      </c>
      <c r="G67" s="74" t="s">
        <v>72</v>
      </c>
      <c r="H67" s="75" t="s">
        <v>72</v>
      </c>
      <c r="I67" s="74" t="s">
        <v>72</v>
      </c>
      <c r="J67" s="13"/>
      <c r="K67" s="9"/>
      <c r="L67" s="9"/>
      <c r="M67" s="9"/>
      <c r="N67" s="9"/>
      <c r="O67" s="9"/>
      <c r="P67" s="9"/>
      <c r="Q67" s="9"/>
    </row>
    <row r="68" spans="1:17">
      <c r="A68" s="97"/>
      <c r="B68" s="97"/>
      <c r="C68" s="95"/>
      <c r="D68" s="57" t="s">
        <v>57</v>
      </c>
      <c r="E68" s="72">
        <v>350</v>
      </c>
      <c r="F68" s="73">
        <v>500</v>
      </c>
      <c r="G68" s="74" t="s">
        <v>72</v>
      </c>
      <c r="H68" s="75" t="s">
        <v>72</v>
      </c>
      <c r="I68" s="74" t="s">
        <v>72</v>
      </c>
      <c r="J68" s="13"/>
      <c r="K68" s="9"/>
      <c r="L68" s="9"/>
      <c r="M68" s="9"/>
      <c r="N68" s="9"/>
      <c r="O68" s="9"/>
      <c r="P68" s="9"/>
      <c r="Q68" s="9"/>
    </row>
    <row r="69" spans="1:17" ht="3.75" customHeight="1">
      <c r="A69" s="97"/>
      <c r="B69" s="97"/>
      <c r="C69" s="53"/>
      <c r="D69" s="28"/>
      <c r="E69" s="78"/>
      <c r="F69" s="79"/>
      <c r="G69" s="74" t="s">
        <v>72</v>
      </c>
      <c r="H69" s="75" t="s">
        <v>72</v>
      </c>
      <c r="I69" s="74" t="s">
        <v>72</v>
      </c>
      <c r="J69" s="13"/>
      <c r="K69" s="9"/>
      <c r="L69" s="9"/>
      <c r="M69" s="9"/>
      <c r="N69" s="9"/>
      <c r="O69" s="9"/>
      <c r="P69" s="9"/>
      <c r="Q69" s="9"/>
    </row>
    <row r="70" spans="1:17">
      <c r="A70" s="97"/>
      <c r="B70" s="97"/>
      <c r="C70" s="59" t="s">
        <v>58</v>
      </c>
      <c r="D70" s="57" t="s">
        <v>40</v>
      </c>
      <c r="E70" s="72">
        <v>774.16</v>
      </c>
      <c r="F70" s="73">
        <v>134.1</v>
      </c>
      <c r="G70" s="74" t="s">
        <v>72</v>
      </c>
      <c r="H70" s="75" t="s">
        <v>72</v>
      </c>
      <c r="I70" s="74" t="s">
        <v>72</v>
      </c>
      <c r="J70" s="13"/>
      <c r="K70" s="9"/>
      <c r="L70" s="9"/>
      <c r="M70" s="9"/>
      <c r="N70" s="9"/>
      <c r="O70" s="9"/>
      <c r="P70" s="9"/>
      <c r="Q70" s="9"/>
    </row>
    <row r="71" spans="1:17" ht="3.75" customHeight="1">
      <c r="A71" s="97"/>
      <c r="B71" s="97"/>
      <c r="C71" s="38"/>
      <c r="D71" s="28"/>
      <c r="E71" s="26"/>
      <c r="F71" s="26"/>
      <c r="G71" s="26"/>
      <c r="H71" s="26"/>
      <c r="I71" s="26"/>
      <c r="J71" s="13"/>
      <c r="K71" s="9"/>
      <c r="L71" s="9"/>
      <c r="M71" s="9"/>
      <c r="N71" s="9"/>
      <c r="O71" s="9"/>
      <c r="P71" s="9"/>
      <c r="Q71" s="9"/>
    </row>
    <row r="72" spans="1:17">
      <c r="A72" s="97"/>
      <c r="B72" s="97"/>
      <c r="C72" s="33" t="s">
        <v>28</v>
      </c>
      <c r="D72" s="29"/>
      <c r="E72" s="34">
        <f>SUM(E65:E70)</f>
        <v>1390</v>
      </c>
      <c r="F72" s="34">
        <f>SUM(F65:F70)</f>
        <v>634.1</v>
      </c>
      <c r="G72" s="34">
        <f>SUM(G65:G70)</f>
        <v>0</v>
      </c>
      <c r="H72" s="34">
        <f>SUM(H65:H70)</f>
        <v>0</v>
      </c>
      <c r="I72" s="34">
        <f>SUM(I65:I70)</f>
        <v>0</v>
      </c>
      <c r="J72" s="13"/>
      <c r="K72" s="9"/>
      <c r="L72" s="9"/>
      <c r="M72" s="9"/>
      <c r="N72" s="9"/>
      <c r="O72" s="9"/>
      <c r="P72" s="9"/>
      <c r="Q72" s="9"/>
    </row>
    <row r="73" spans="1:17" ht="3.75" customHeight="1">
      <c r="A73" s="97"/>
      <c r="B73" s="97"/>
      <c r="C73" s="28"/>
      <c r="D73" s="28"/>
      <c r="E73" s="26"/>
      <c r="F73" s="26"/>
      <c r="G73" s="26"/>
      <c r="H73" s="26"/>
      <c r="I73" s="26"/>
      <c r="J73" s="13"/>
      <c r="K73" s="9"/>
      <c r="L73" s="9"/>
      <c r="M73" s="9"/>
      <c r="N73" s="9"/>
      <c r="O73" s="9"/>
      <c r="P73" s="9"/>
      <c r="Q73" s="9"/>
    </row>
    <row r="74" spans="1:17">
      <c r="A74" s="97"/>
      <c r="B74" s="97"/>
      <c r="C74" s="33" t="s">
        <v>26</v>
      </c>
      <c r="D74" s="29"/>
      <c r="E74" s="35">
        <f>E72/E9</f>
        <v>0.17432418026876023</v>
      </c>
      <c r="F74" s="35">
        <f>F72/F9</f>
        <v>0.15748755075937265</v>
      </c>
      <c r="G74" s="35" t="e">
        <f>G72/G9</f>
        <v>#DIV/0!</v>
      </c>
      <c r="H74" s="35" t="e">
        <f>H72/H9</f>
        <v>#DIV/0!</v>
      </c>
      <c r="I74" s="35" t="e">
        <f>I72/I9</f>
        <v>#DIV/0!</v>
      </c>
      <c r="J74" s="13"/>
      <c r="K74" s="9"/>
      <c r="L74" s="9"/>
      <c r="M74" s="9"/>
      <c r="N74" s="9"/>
      <c r="O74" s="9"/>
      <c r="P74" s="9"/>
      <c r="Q74" s="9"/>
    </row>
    <row r="75" spans="1:17" ht="3.75" customHeight="1">
      <c r="A75" s="30"/>
      <c r="B75" s="30"/>
      <c r="C75" s="28"/>
      <c r="D75" s="28"/>
      <c r="E75" s="26"/>
      <c r="F75" s="26"/>
      <c r="G75" s="26"/>
      <c r="H75" s="26"/>
      <c r="I75" s="26"/>
      <c r="J75" s="13"/>
      <c r="K75" s="9"/>
      <c r="L75" s="9"/>
      <c r="M75" s="9"/>
      <c r="N75" s="9"/>
      <c r="O75" s="9"/>
      <c r="P75" s="9"/>
      <c r="Q75" s="9"/>
    </row>
    <row r="76" spans="1:17">
      <c r="A76" s="85" t="s">
        <v>61</v>
      </c>
      <c r="B76" s="86"/>
      <c r="C76" s="87"/>
      <c r="D76" s="42" t="s">
        <v>0</v>
      </c>
      <c r="E76" s="80">
        <f>E9</f>
        <v>7973.65</v>
      </c>
      <c r="F76" s="80">
        <f>F9</f>
        <v>4026.35</v>
      </c>
      <c r="G76" s="80">
        <f>G9</f>
        <v>0</v>
      </c>
      <c r="H76" s="80">
        <f>H9</f>
        <v>0</v>
      </c>
      <c r="I76" s="80">
        <f>I9</f>
        <v>0</v>
      </c>
      <c r="J76" s="13"/>
      <c r="K76" s="9"/>
      <c r="L76" s="9"/>
      <c r="M76" s="9"/>
      <c r="N76" s="9"/>
      <c r="O76" s="9"/>
      <c r="P76" s="9"/>
      <c r="Q76" s="9"/>
    </row>
    <row r="77" spans="1:17">
      <c r="A77" s="88"/>
      <c r="B77" s="89"/>
      <c r="C77" s="90"/>
      <c r="D77" s="42" t="s">
        <v>23</v>
      </c>
      <c r="E77" s="80">
        <f>E38</f>
        <v>5712.75</v>
      </c>
      <c r="F77" s="80">
        <f>F38</f>
        <v>5712.75</v>
      </c>
      <c r="G77" s="80">
        <f>G38</f>
        <v>5712.75</v>
      </c>
      <c r="H77" s="80">
        <f>H38</f>
        <v>5712.75</v>
      </c>
      <c r="I77" s="80">
        <f>I38</f>
        <v>5712.75</v>
      </c>
      <c r="J77" s="13"/>
      <c r="K77" s="9"/>
      <c r="L77" s="9"/>
      <c r="M77" s="9"/>
      <c r="N77" s="9"/>
      <c r="O77" s="9"/>
      <c r="P77" s="9"/>
      <c r="Q77" s="9"/>
    </row>
    <row r="78" spans="1:17">
      <c r="A78" s="88"/>
      <c r="B78" s="89"/>
      <c r="C78" s="90"/>
      <c r="D78" s="42" t="s">
        <v>24</v>
      </c>
      <c r="E78" s="80">
        <f>E52</f>
        <v>325.89999999999998</v>
      </c>
      <c r="F78" s="80">
        <f>F52</f>
        <v>249.85</v>
      </c>
      <c r="G78" s="80">
        <f>G52</f>
        <v>0</v>
      </c>
      <c r="H78" s="80">
        <f>H52</f>
        <v>0</v>
      </c>
      <c r="I78" s="80">
        <f>I52</f>
        <v>0</v>
      </c>
      <c r="J78" s="13"/>
      <c r="K78" s="9"/>
      <c r="L78" s="9"/>
      <c r="M78" s="9"/>
      <c r="N78" s="9"/>
      <c r="O78" s="9"/>
      <c r="P78" s="9"/>
      <c r="Q78" s="9"/>
    </row>
    <row r="79" spans="1:17">
      <c r="A79" s="88"/>
      <c r="B79" s="89"/>
      <c r="C79" s="90"/>
      <c r="D79" s="42" t="s">
        <v>25</v>
      </c>
      <c r="E79" s="80">
        <f>E61</f>
        <v>545</v>
      </c>
      <c r="F79" s="80">
        <f>F61</f>
        <v>285</v>
      </c>
      <c r="G79" s="80">
        <f>G61</f>
        <v>0</v>
      </c>
      <c r="H79" s="80">
        <f>H61</f>
        <v>0</v>
      </c>
      <c r="I79" s="80">
        <f>I61</f>
        <v>0</v>
      </c>
      <c r="J79" s="13"/>
      <c r="K79" s="9"/>
      <c r="L79" s="9"/>
      <c r="M79" s="9"/>
      <c r="N79" s="9"/>
      <c r="O79" s="9"/>
      <c r="P79" s="9"/>
      <c r="Q79" s="9"/>
    </row>
    <row r="80" spans="1:17">
      <c r="A80" s="88"/>
      <c r="B80" s="89"/>
      <c r="C80" s="90"/>
      <c r="D80" s="42" t="s">
        <v>27</v>
      </c>
      <c r="E80" s="80">
        <f>E72</f>
        <v>1390</v>
      </c>
      <c r="F80" s="80">
        <f>F72</f>
        <v>634.1</v>
      </c>
      <c r="G80" s="80">
        <f>G72</f>
        <v>0</v>
      </c>
      <c r="H80" s="80">
        <f>H72</f>
        <v>0</v>
      </c>
      <c r="I80" s="80">
        <f>I72</f>
        <v>0</v>
      </c>
      <c r="J80" s="13"/>
      <c r="K80" s="9"/>
      <c r="L80" s="9"/>
      <c r="M80" s="9"/>
      <c r="N80" s="9"/>
      <c r="O80" s="9"/>
      <c r="P80" s="9"/>
      <c r="Q80" s="9"/>
    </row>
    <row r="81" spans="1:24">
      <c r="A81" s="91"/>
      <c r="B81" s="92"/>
      <c r="C81" s="93"/>
      <c r="D81" s="71" t="s">
        <v>14</v>
      </c>
      <c r="E81" s="43">
        <f>E76-(SUM(E77:E80))</f>
        <v>0</v>
      </c>
      <c r="F81" s="43">
        <f>F76-(SUM(F77:F80))</f>
        <v>-2855.3500000000008</v>
      </c>
      <c r="G81" s="43">
        <f>G76-(SUM(G77:G80))</f>
        <v>-5712.75</v>
      </c>
      <c r="H81" s="43">
        <f>H76-(SUM(H77:H80))</f>
        <v>-5712.75</v>
      </c>
      <c r="I81" s="43">
        <f>I76-(SUM(I77:I80))</f>
        <v>-5712.75</v>
      </c>
      <c r="J81" s="13"/>
      <c r="K81" s="9"/>
      <c r="L81" s="9"/>
      <c r="M81" s="9"/>
      <c r="N81" s="9"/>
      <c r="O81" s="9"/>
      <c r="P81" s="9"/>
      <c r="Q81" s="9"/>
    </row>
    <row r="82" spans="1:24">
      <c r="A82" s="13"/>
      <c r="B82" s="13"/>
      <c r="C82" s="13"/>
      <c r="D82" s="69" t="s">
        <v>67</v>
      </c>
      <c r="E82" s="70" t="s">
        <v>66</v>
      </c>
      <c r="F82" s="70" t="s">
        <v>69</v>
      </c>
      <c r="G82" s="70" t="s">
        <v>68</v>
      </c>
      <c r="H82" s="70" t="s">
        <v>68</v>
      </c>
      <c r="I82" s="70" t="s">
        <v>68</v>
      </c>
      <c r="J82" s="14"/>
      <c r="K82" s="14"/>
      <c r="L82" s="14"/>
      <c r="M82" s="14"/>
      <c r="N82" s="14"/>
      <c r="O82" s="14"/>
      <c r="P82" s="14"/>
      <c r="Q82" s="13"/>
      <c r="R82" s="9"/>
      <c r="S82" s="9"/>
      <c r="T82" s="9"/>
      <c r="U82" s="9"/>
      <c r="V82" s="9"/>
      <c r="W82" s="9"/>
      <c r="X82" s="9"/>
    </row>
    <row r="83" spans="1:24">
      <c r="A83" s="9"/>
      <c r="B83" s="9"/>
      <c r="C83" s="9"/>
      <c r="D83" s="9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9"/>
      <c r="R83" s="9"/>
      <c r="S83" s="9"/>
      <c r="T83" s="9"/>
      <c r="U83" s="9"/>
      <c r="V83" s="9"/>
      <c r="W83" s="9"/>
      <c r="X83" s="9"/>
    </row>
    <row r="84" spans="1:24">
      <c r="A84" s="9"/>
      <c r="B84" s="9"/>
      <c r="C84" s="9"/>
      <c r="D84" s="9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9"/>
      <c r="R84" s="9"/>
      <c r="S84" s="9"/>
      <c r="T84" s="9"/>
      <c r="U84" s="9"/>
      <c r="V84" s="9"/>
      <c r="W84" s="9"/>
      <c r="X84" s="9"/>
    </row>
    <row r="85" spans="1:24">
      <c r="A85" s="9"/>
      <c r="B85" s="9"/>
      <c r="C85" s="9"/>
      <c r="D85" s="9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9"/>
      <c r="R85" s="9"/>
      <c r="S85" s="9"/>
      <c r="T85" s="9"/>
      <c r="U85" s="9"/>
      <c r="V85" s="9"/>
      <c r="W85" s="9"/>
      <c r="X85" s="9"/>
    </row>
    <row r="86" spans="1:24">
      <c r="A86" s="9"/>
      <c r="B86" s="9"/>
      <c r="C86" s="9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9"/>
      <c r="R86" s="9"/>
      <c r="S86" s="9"/>
      <c r="T86" s="9"/>
      <c r="U86" s="9"/>
      <c r="V86" s="9"/>
      <c r="W86" s="9"/>
      <c r="X86" s="9"/>
    </row>
    <row r="87" spans="1:24">
      <c r="A87" s="9"/>
      <c r="B87" s="9"/>
      <c r="C87" s="9"/>
      <c r="D87" s="9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9"/>
      <c r="R87" s="9"/>
      <c r="S87" s="9"/>
      <c r="T87" s="9"/>
      <c r="U87" s="9"/>
      <c r="V87" s="9"/>
      <c r="W87" s="9"/>
      <c r="X87" s="9"/>
    </row>
    <row r="88" spans="1:24">
      <c r="A88" s="9"/>
      <c r="B88" s="9"/>
      <c r="C88" s="9"/>
      <c r="D88" s="9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9"/>
      <c r="R88" s="9"/>
      <c r="S88" s="9"/>
      <c r="T88" s="9"/>
      <c r="U88" s="9"/>
      <c r="V88" s="9"/>
      <c r="W88" s="9"/>
      <c r="X88" s="9"/>
    </row>
    <row r="89" spans="1:24">
      <c r="A89" s="9"/>
      <c r="B89" s="9"/>
      <c r="C89" s="9"/>
      <c r="D89" s="9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9"/>
      <c r="R89" s="9"/>
      <c r="S89" s="9"/>
      <c r="T89" s="9"/>
      <c r="U89" s="9"/>
      <c r="V89" s="9"/>
      <c r="W89" s="9"/>
      <c r="X89" s="9"/>
    </row>
    <row r="90" spans="1:24">
      <c r="A90" s="9"/>
      <c r="B90" s="9"/>
      <c r="C90" s="9"/>
      <c r="D90" s="9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9"/>
      <c r="R90" s="9"/>
      <c r="S90" s="9"/>
      <c r="T90" s="9"/>
      <c r="U90" s="9"/>
      <c r="V90" s="9"/>
      <c r="W90" s="9"/>
      <c r="X90" s="9"/>
    </row>
    <row r="91" spans="1:24">
      <c r="A91" s="9"/>
      <c r="B91" s="9"/>
      <c r="C91" s="9"/>
      <c r="D91" s="9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9"/>
      <c r="R91" s="9"/>
      <c r="S91" s="9"/>
      <c r="T91" s="9"/>
      <c r="U91" s="9"/>
      <c r="V91" s="9"/>
      <c r="W91" s="9"/>
      <c r="X91" s="9"/>
    </row>
    <row r="92" spans="1:24">
      <c r="A92" s="9"/>
      <c r="B92" s="9"/>
      <c r="C92" s="9"/>
      <c r="D92" s="9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9"/>
      <c r="R92" s="9"/>
      <c r="S92" s="9"/>
      <c r="T92" s="9"/>
      <c r="U92" s="9"/>
      <c r="V92" s="9"/>
      <c r="W92" s="9"/>
      <c r="X92" s="9"/>
    </row>
    <row r="93" spans="1:24">
      <c r="A93" s="9"/>
      <c r="B93" s="9"/>
      <c r="C93" s="9"/>
      <c r="D93" s="9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9"/>
      <c r="R93" s="9"/>
      <c r="S93" s="9"/>
      <c r="T93" s="9"/>
      <c r="U93" s="9"/>
      <c r="V93" s="9"/>
      <c r="W93" s="9"/>
      <c r="X93" s="9"/>
    </row>
    <row r="94" spans="1:24">
      <c r="A94" s="9"/>
      <c r="B94" s="9"/>
      <c r="C94" s="9"/>
      <c r="D94" s="9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9"/>
      <c r="R94" s="9"/>
      <c r="S94" s="9"/>
      <c r="T94" s="9"/>
      <c r="U94" s="9"/>
      <c r="V94" s="9"/>
      <c r="W94" s="9"/>
      <c r="X94" s="9"/>
    </row>
    <row r="95" spans="1:24">
      <c r="A95" s="9"/>
      <c r="B95" s="9"/>
      <c r="C95" s="9"/>
      <c r="D95" s="9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9"/>
      <c r="R95" s="9"/>
      <c r="S95" s="9"/>
      <c r="T95" s="9"/>
      <c r="U95" s="9"/>
      <c r="V95" s="9"/>
      <c r="W95" s="9"/>
      <c r="X95" s="9"/>
    </row>
    <row r="96" spans="1:24">
      <c r="A96" s="9"/>
      <c r="B96" s="9"/>
      <c r="C96" s="9"/>
      <c r="D96" s="9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9"/>
      <c r="R96" s="9"/>
      <c r="S96" s="9"/>
      <c r="T96" s="9"/>
      <c r="U96" s="9"/>
      <c r="V96" s="9"/>
      <c r="W96" s="9"/>
      <c r="X96" s="9"/>
    </row>
    <row r="97" spans="1:24">
      <c r="A97" s="9"/>
      <c r="B97" s="9"/>
      <c r="C97" s="9"/>
      <c r="D97" s="9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9"/>
      <c r="R97" s="9"/>
      <c r="S97" s="9"/>
      <c r="T97" s="9"/>
      <c r="U97" s="9"/>
      <c r="V97" s="9"/>
      <c r="W97" s="9"/>
      <c r="X97" s="9"/>
    </row>
    <row r="98" spans="1:24">
      <c r="A98" s="9"/>
      <c r="B98" s="9"/>
      <c r="C98" s="9"/>
      <c r="D98" s="9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9"/>
      <c r="R98" s="9"/>
      <c r="S98" s="9"/>
      <c r="T98" s="9"/>
      <c r="U98" s="9"/>
      <c r="V98" s="9"/>
      <c r="W98" s="9"/>
      <c r="X98" s="9"/>
    </row>
    <row r="99" spans="1:24">
      <c r="A99" s="9"/>
      <c r="B99" s="9"/>
      <c r="C99" s="9"/>
      <c r="D99" s="9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9"/>
      <c r="R99" s="9"/>
      <c r="S99" s="9"/>
      <c r="T99" s="9"/>
      <c r="U99" s="9"/>
      <c r="V99" s="9"/>
      <c r="W99" s="9"/>
      <c r="X99" s="9"/>
    </row>
    <row r="100" spans="1:24">
      <c r="A100" s="9"/>
      <c r="B100" s="9"/>
      <c r="C100" s="9"/>
      <c r="D100" s="9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9"/>
      <c r="R100" s="9"/>
      <c r="S100" s="9"/>
      <c r="T100" s="9"/>
      <c r="U100" s="9"/>
      <c r="V100" s="9"/>
      <c r="W100" s="9"/>
      <c r="X100" s="9"/>
    </row>
    <row r="101" spans="1:24">
      <c r="A101" s="9"/>
      <c r="B101" s="9"/>
      <c r="C101" s="9"/>
      <c r="D101" s="9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9"/>
      <c r="R101" s="9"/>
      <c r="S101" s="9"/>
      <c r="T101" s="9"/>
      <c r="U101" s="9"/>
      <c r="V101" s="9"/>
      <c r="W101" s="9"/>
      <c r="X101" s="9"/>
    </row>
    <row r="102" spans="1:24">
      <c r="A102" s="9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9"/>
      <c r="R102" s="9"/>
      <c r="S102" s="9"/>
      <c r="T102" s="9"/>
      <c r="U102" s="9"/>
      <c r="V102" s="9"/>
      <c r="W102" s="9"/>
      <c r="X102" s="9"/>
    </row>
    <row r="103" spans="1:24">
      <c r="A103" s="9"/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9"/>
      <c r="R103" s="9"/>
      <c r="S103" s="9"/>
      <c r="T103" s="9"/>
      <c r="U103" s="9"/>
      <c r="V103" s="9"/>
      <c r="W103" s="9"/>
      <c r="X103" s="9"/>
    </row>
    <row r="104" spans="1:24">
      <c r="A104" s="9"/>
      <c r="B104" s="9"/>
      <c r="C104" s="9"/>
      <c r="D104" s="9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9"/>
      <c r="R104" s="9"/>
      <c r="S104" s="9"/>
      <c r="T104" s="9"/>
      <c r="U104" s="9"/>
      <c r="V104" s="9"/>
      <c r="W104" s="9"/>
      <c r="X104" s="9"/>
    </row>
    <row r="105" spans="1:24">
      <c r="A105" s="9"/>
      <c r="B105" s="9"/>
      <c r="C105" s="9"/>
      <c r="D105" s="9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9"/>
      <c r="R105" s="9"/>
      <c r="S105" s="9"/>
      <c r="T105" s="9"/>
      <c r="U105" s="9"/>
      <c r="V105" s="9"/>
      <c r="W105" s="9"/>
      <c r="X105" s="9"/>
    </row>
    <row r="106" spans="1:24">
      <c r="A106" s="9"/>
      <c r="B106" s="9"/>
      <c r="C106" s="9"/>
      <c r="D106" s="9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9"/>
      <c r="R106" s="9"/>
      <c r="S106" s="9"/>
      <c r="T106" s="9"/>
      <c r="U106" s="9"/>
      <c r="V106" s="9"/>
      <c r="W106" s="9"/>
      <c r="X106" s="9"/>
    </row>
    <row r="107" spans="1:24">
      <c r="A107" s="9"/>
      <c r="B107" s="9"/>
      <c r="C107" s="9"/>
      <c r="D107" s="9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9"/>
      <c r="R107" s="9"/>
      <c r="S107" s="9"/>
      <c r="T107" s="9"/>
      <c r="U107" s="9"/>
      <c r="V107" s="9"/>
      <c r="W107" s="9"/>
      <c r="X107" s="9"/>
    </row>
    <row r="108" spans="1:24">
      <c r="A108" s="9"/>
      <c r="B108" s="9"/>
      <c r="C108" s="9"/>
      <c r="D108" s="9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9"/>
      <c r="R108" s="9"/>
      <c r="S108" s="9"/>
      <c r="T108" s="9"/>
      <c r="U108" s="9"/>
      <c r="V108" s="9"/>
      <c r="W108" s="9"/>
      <c r="X108" s="9"/>
    </row>
    <row r="109" spans="1:24">
      <c r="A109" s="9"/>
      <c r="B109" s="9"/>
      <c r="C109" s="9"/>
      <c r="D109" s="9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9"/>
      <c r="R109" s="9"/>
      <c r="S109" s="9"/>
      <c r="T109" s="9"/>
      <c r="U109" s="9"/>
      <c r="V109" s="9"/>
      <c r="W109" s="9"/>
      <c r="X109" s="9"/>
    </row>
    <row r="110" spans="1:24">
      <c r="A110" s="9"/>
      <c r="B110" s="9"/>
      <c r="C110" s="9"/>
      <c r="D110" s="9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9"/>
      <c r="R110" s="9"/>
      <c r="S110" s="9"/>
      <c r="T110" s="9"/>
      <c r="U110" s="9"/>
      <c r="V110" s="9"/>
      <c r="W110" s="9"/>
      <c r="X110" s="9"/>
    </row>
    <row r="111" spans="1:24">
      <c r="A111" s="9"/>
      <c r="B111" s="9"/>
      <c r="C111" s="9"/>
      <c r="D111" s="9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9"/>
      <c r="R111" s="9"/>
      <c r="S111" s="9"/>
      <c r="T111" s="9"/>
      <c r="U111" s="9"/>
      <c r="V111" s="9"/>
      <c r="W111" s="9"/>
      <c r="X111" s="9"/>
    </row>
    <row r="112" spans="1:24">
      <c r="A112" s="9"/>
      <c r="B112" s="9"/>
      <c r="C112" s="9"/>
      <c r="D112" s="9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9"/>
      <c r="R112" s="9"/>
      <c r="S112" s="9"/>
      <c r="T112" s="9"/>
      <c r="U112" s="9"/>
      <c r="V112" s="9"/>
      <c r="W112" s="9"/>
      <c r="X112" s="9"/>
    </row>
    <row r="113" spans="1:24">
      <c r="A113" s="9"/>
      <c r="B113" s="9"/>
      <c r="C113" s="9"/>
      <c r="D113" s="9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9"/>
      <c r="R113" s="9"/>
      <c r="S113" s="9"/>
      <c r="T113" s="9"/>
      <c r="U113" s="9"/>
      <c r="V113" s="9"/>
      <c r="W113" s="9"/>
      <c r="X113" s="9"/>
    </row>
    <row r="114" spans="1:24">
      <c r="A114" s="9"/>
      <c r="B114" s="9"/>
      <c r="C114" s="9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9"/>
      <c r="R114" s="9"/>
      <c r="S114" s="9"/>
      <c r="T114" s="9"/>
      <c r="U114" s="9"/>
      <c r="V114" s="9"/>
      <c r="W114" s="9"/>
      <c r="X114" s="9"/>
    </row>
    <row r="115" spans="1:24">
      <c r="A115" s="9"/>
      <c r="B115" s="9"/>
      <c r="C115" s="9"/>
      <c r="D115" s="9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9"/>
      <c r="R115" s="9"/>
      <c r="S115" s="9"/>
      <c r="T115" s="9"/>
      <c r="U115" s="9"/>
      <c r="V115" s="9"/>
      <c r="W115" s="9"/>
      <c r="X115" s="9"/>
    </row>
    <row r="116" spans="1:24">
      <c r="A116" s="9"/>
      <c r="B116" s="9"/>
      <c r="C116" s="9"/>
      <c r="D116" s="9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9"/>
      <c r="R116" s="9"/>
      <c r="S116" s="9"/>
      <c r="T116" s="9"/>
      <c r="U116" s="9"/>
      <c r="V116" s="9"/>
      <c r="W116" s="9"/>
      <c r="X116" s="9"/>
    </row>
    <row r="117" spans="1:24">
      <c r="A117" s="9"/>
      <c r="B117" s="9"/>
      <c r="C117" s="9"/>
      <c r="D117" s="9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9"/>
      <c r="R117" s="9"/>
      <c r="S117" s="9"/>
      <c r="T117" s="9"/>
      <c r="U117" s="9"/>
      <c r="V117" s="9"/>
      <c r="W117" s="9"/>
      <c r="X117" s="9"/>
    </row>
    <row r="118" spans="1:24">
      <c r="A118" s="9"/>
      <c r="B118" s="9"/>
      <c r="C118" s="9"/>
      <c r="D118" s="9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9"/>
      <c r="R118" s="9"/>
      <c r="S118" s="9"/>
      <c r="T118" s="9"/>
      <c r="U118" s="9"/>
      <c r="V118" s="9"/>
      <c r="W118" s="9"/>
      <c r="X118" s="9"/>
    </row>
    <row r="119" spans="1:24">
      <c r="A119" s="9"/>
      <c r="B119" s="9"/>
      <c r="C119" s="9"/>
      <c r="D119" s="9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9"/>
      <c r="R119" s="9"/>
      <c r="S119" s="9"/>
      <c r="T119" s="9"/>
      <c r="U119" s="9"/>
      <c r="V119" s="9"/>
      <c r="W119" s="9"/>
      <c r="X119" s="9"/>
    </row>
    <row r="120" spans="1:24">
      <c r="A120" s="9"/>
      <c r="B120" s="9"/>
      <c r="C120" s="9"/>
      <c r="D120" s="9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9"/>
      <c r="R120" s="9"/>
      <c r="S120" s="9"/>
      <c r="T120" s="9"/>
      <c r="U120" s="9"/>
      <c r="V120" s="9"/>
      <c r="W120" s="9"/>
      <c r="X120" s="9"/>
    </row>
    <row r="121" spans="1:24">
      <c r="A121" s="9"/>
      <c r="B121" s="9"/>
      <c r="C121" s="9"/>
      <c r="D121" s="9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9"/>
      <c r="R121" s="9"/>
      <c r="S121" s="9"/>
      <c r="T121" s="9"/>
      <c r="U121" s="9"/>
      <c r="V121" s="9"/>
      <c r="W121" s="9"/>
      <c r="X121" s="9"/>
    </row>
    <row r="122" spans="1:24">
      <c r="A122" s="9"/>
      <c r="B122" s="9"/>
      <c r="C122" s="9"/>
      <c r="D122" s="9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9"/>
      <c r="R122" s="9"/>
      <c r="S122" s="9"/>
      <c r="T122" s="9"/>
      <c r="U122" s="9"/>
      <c r="V122" s="9"/>
      <c r="W122" s="9"/>
      <c r="X122" s="9"/>
    </row>
    <row r="123" spans="1:24">
      <c r="A123" s="9"/>
      <c r="B123" s="9"/>
      <c r="C123" s="9"/>
      <c r="D123" s="9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9"/>
      <c r="R123" s="9"/>
      <c r="S123" s="9"/>
      <c r="T123" s="9"/>
      <c r="U123" s="9"/>
      <c r="V123" s="9"/>
      <c r="W123" s="9"/>
      <c r="X123" s="9"/>
    </row>
    <row r="124" spans="1:24">
      <c r="A124" s="9"/>
      <c r="B124" s="9"/>
      <c r="C124" s="9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9"/>
      <c r="R124" s="9"/>
      <c r="S124" s="9"/>
      <c r="T124" s="9"/>
      <c r="U124" s="9"/>
      <c r="V124" s="9"/>
      <c r="W124" s="9"/>
      <c r="X124" s="9"/>
    </row>
    <row r="125" spans="1:24">
      <c r="A125" s="9"/>
      <c r="B125" s="9"/>
      <c r="C125" s="9"/>
      <c r="D125" s="9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9"/>
      <c r="R125" s="9"/>
      <c r="S125" s="9"/>
      <c r="T125" s="9"/>
      <c r="U125" s="9"/>
      <c r="V125" s="9"/>
      <c r="W125" s="9"/>
      <c r="X125" s="9"/>
    </row>
    <row r="126" spans="1:24">
      <c r="A126" s="9"/>
      <c r="B126" s="9"/>
      <c r="C126" s="9"/>
      <c r="D126" s="9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9"/>
      <c r="R126" s="9"/>
      <c r="S126" s="9"/>
      <c r="T126" s="9"/>
      <c r="U126" s="9"/>
      <c r="V126" s="9"/>
      <c r="W126" s="9"/>
      <c r="X126" s="9"/>
    </row>
    <row r="127" spans="1:24">
      <c r="A127" s="9"/>
      <c r="B127" s="9"/>
      <c r="C127" s="9"/>
      <c r="D127" s="9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9"/>
      <c r="R127" s="9"/>
      <c r="S127" s="9"/>
      <c r="T127" s="9"/>
      <c r="U127" s="9"/>
      <c r="V127" s="9"/>
      <c r="W127" s="9"/>
      <c r="X127" s="9"/>
    </row>
    <row r="128" spans="1:24">
      <c r="A128" s="9"/>
      <c r="B128" s="9"/>
      <c r="C128" s="9"/>
      <c r="D128" s="9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9"/>
      <c r="R128" s="9"/>
      <c r="S128" s="9"/>
      <c r="T128" s="9"/>
      <c r="U128" s="9"/>
      <c r="V128" s="9"/>
      <c r="W128" s="9"/>
      <c r="X128" s="9"/>
    </row>
    <row r="129" spans="1:24">
      <c r="A129" s="9"/>
      <c r="B129" s="9"/>
      <c r="C129" s="9"/>
      <c r="D129" s="9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9"/>
      <c r="R129" s="9"/>
      <c r="S129" s="9"/>
      <c r="T129" s="9"/>
      <c r="U129" s="9"/>
      <c r="V129" s="9"/>
      <c r="W129" s="9"/>
      <c r="X129" s="9"/>
    </row>
    <row r="130" spans="1:24">
      <c r="A130" s="9"/>
      <c r="B130" s="9"/>
      <c r="C130" s="9"/>
      <c r="D130" s="9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9"/>
      <c r="R130" s="9"/>
      <c r="S130" s="9"/>
      <c r="T130" s="9"/>
      <c r="U130" s="9"/>
      <c r="V130" s="9"/>
      <c r="W130" s="9"/>
      <c r="X130" s="9"/>
    </row>
    <row r="131" spans="1:24">
      <c r="A131" s="9"/>
      <c r="B131" s="9"/>
      <c r="C131" s="9"/>
      <c r="D131" s="9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9"/>
      <c r="R131" s="9"/>
      <c r="S131" s="9"/>
      <c r="T131" s="9"/>
      <c r="U131" s="9"/>
      <c r="V131" s="9"/>
      <c r="W131" s="9"/>
      <c r="X131" s="9"/>
    </row>
    <row r="132" spans="1:24">
      <c r="A132" s="9"/>
      <c r="B132" s="9"/>
      <c r="C132" s="9"/>
      <c r="D132" s="9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9"/>
      <c r="R132" s="9"/>
      <c r="S132" s="9"/>
      <c r="T132" s="9"/>
      <c r="U132" s="9"/>
      <c r="V132" s="9"/>
      <c r="W132" s="9"/>
      <c r="X132" s="9"/>
    </row>
    <row r="133" spans="1:24">
      <c r="A133" s="9"/>
      <c r="B133" s="9"/>
      <c r="C133" s="9"/>
      <c r="D133" s="9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9"/>
      <c r="R133" s="9"/>
      <c r="S133" s="9"/>
      <c r="T133" s="9"/>
      <c r="U133" s="9"/>
      <c r="V133" s="9"/>
      <c r="W133" s="9"/>
      <c r="X133" s="9"/>
    </row>
    <row r="134" spans="1:24">
      <c r="A134" s="9"/>
      <c r="B134" s="9"/>
      <c r="C134" s="9"/>
      <c r="D134" s="9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9"/>
      <c r="R134" s="9"/>
      <c r="S134" s="9"/>
      <c r="T134" s="9"/>
      <c r="U134" s="9"/>
      <c r="V134" s="9"/>
      <c r="W134" s="9"/>
      <c r="X134" s="9"/>
    </row>
    <row r="135" spans="1:24">
      <c r="A135" s="9"/>
      <c r="B135" s="9"/>
      <c r="C135" s="9"/>
      <c r="D135" s="9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9"/>
      <c r="R135" s="9"/>
      <c r="S135" s="9"/>
      <c r="T135" s="9"/>
      <c r="U135" s="9"/>
      <c r="V135" s="9"/>
      <c r="W135" s="9"/>
      <c r="X135" s="9"/>
    </row>
    <row r="136" spans="1:24">
      <c r="A136" s="9"/>
      <c r="B136" s="9"/>
      <c r="C136" s="9"/>
      <c r="D136" s="9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9"/>
      <c r="R136" s="9"/>
      <c r="S136" s="9"/>
      <c r="T136" s="9"/>
      <c r="U136" s="9"/>
      <c r="V136" s="9"/>
      <c r="W136" s="9"/>
      <c r="X136" s="9"/>
    </row>
    <row r="137" spans="1:24">
      <c r="A137" s="9"/>
      <c r="B137" s="9"/>
      <c r="C137" s="9"/>
      <c r="D137" s="9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9"/>
      <c r="R137" s="9"/>
      <c r="S137" s="9"/>
      <c r="T137" s="9"/>
      <c r="U137" s="9"/>
      <c r="V137" s="9"/>
      <c r="W137" s="9"/>
      <c r="X137" s="9"/>
    </row>
    <row r="138" spans="1:24">
      <c r="A138" s="9"/>
      <c r="B138" s="9"/>
      <c r="C138" s="9"/>
      <c r="D138" s="9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9"/>
      <c r="R138" s="9"/>
      <c r="S138" s="9"/>
      <c r="T138" s="9"/>
      <c r="U138" s="9"/>
      <c r="V138" s="9"/>
      <c r="W138" s="9"/>
      <c r="X138" s="9"/>
    </row>
    <row r="139" spans="1:24">
      <c r="A139" s="9"/>
      <c r="B139" s="9"/>
      <c r="C139" s="9"/>
      <c r="D139" s="9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9"/>
      <c r="R139" s="9"/>
      <c r="S139" s="9"/>
      <c r="T139" s="9"/>
      <c r="U139" s="9"/>
      <c r="V139" s="9"/>
      <c r="W139" s="9"/>
      <c r="X139" s="9"/>
    </row>
    <row r="140" spans="1:24">
      <c r="A140" s="9"/>
      <c r="B140" s="9"/>
      <c r="C140" s="9"/>
      <c r="D140" s="9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9"/>
      <c r="R140" s="9"/>
      <c r="S140" s="9"/>
      <c r="T140" s="9"/>
      <c r="U140" s="9"/>
      <c r="V140" s="9"/>
      <c r="W140" s="9"/>
      <c r="X140" s="9"/>
    </row>
    <row r="141" spans="1:24">
      <c r="A141" s="9"/>
      <c r="B141" s="9"/>
      <c r="C141" s="9"/>
      <c r="D141" s="9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9"/>
      <c r="R141" s="9"/>
      <c r="S141" s="9"/>
      <c r="T141" s="9"/>
      <c r="U141" s="9"/>
      <c r="V141" s="9"/>
      <c r="W141" s="9"/>
      <c r="X141" s="9"/>
    </row>
    <row r="142" spans="1:24">
      <c r="A142" s="9"/>
      <c r="B142" s="9"/>
      <c r="C142" s="9"/>
      <c r="D142" s="9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9"/>
      <c r="R142" s="9"/>
      <c r="S142" s="9"/>
      <c r="T142" s="9"/>
      <c r="U142" s="9"/>
      <c r="V142" s="9"/>
      <c r="W142" s="9"/>
      <c r="X142" s="9"/>
    </row>
    <row r="143" spans="1:24">
      <c r="A143" s="9"/>
      <c r="B143" s="9"/>
      <c r="C143" s="9"/>
      <c r="D143" s="9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9"/>
      <c r="R143" s="9"/>
      <c r="S143" s="9"/>
      <c r="T143" s="9"/>
      <c r="U143" s="9"/>
      <c r="V143" s="9"/>
      <c r="W143" s="9"/>
      <c r="X143" s="9"/>
    </row>
    <row r="144" spans="1:24">
      <c r="A144" s="9"/>
      <c r="B144" s="9"/>
      <c r="C144" s="9"/>
      <c r="D144" s="9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9"/>
      <c r="R144" s="9"/>
      <c r="S144" s="9"/>
      <c r="T144" s="9"/>
      <c r="U144" s="9"/>
      <c r="V144" s="9"/>
      <c r="W144" s="9"/>
      <c r="X144" s="9"/>
    </row>
    <row r="145" spans="1:24">
      <c r="A145" s="9"/>
      <c r="B145" s="9"/>
      <c r="C145" s="9"/>
      <c r="D145" s="9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9"/>
      <c r="R145" s="9"/>
      <c r="S145" s="9"/>
      <c r="T145" s="9"/>
      <c r="U145" s="9"/>
      <c r="V145" s="9"/>
      <c r="W145" s="9"/>
      <c r="X145" s="9"/>
    </row>
    <row r="146" spans="1:24">
      <c r="A146" s="9"/>
      <c r="B146" s="9"/>
      <c r="C146" s="9"/>
      <c r="D146" s="9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9"/>
      <c r="R146" s="9"/>
      <c r="S146" s="9"/>
      <c r="T146" s="9"/>
      <c r="U146" s="9"/>
      <c r="V146" s="9"/>
      <c r="W146" s="9"/>
      <c r="X146" s="9"/>
    </row>
    <row r="147" spans="1:24">
      <c r="A147" s="9"/>
      <c r="B147" s="9"/>
      <c r="C147" s="9"/>
      <c r="D147" s="9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9"/>
      <c r="R147" s="9"/>
      <c r="S147" s="9"/>
      <c r="T147" s="9"/>
      <c r="U147" s="9"/>
      <c r="V147" s="9"/>
      <c r="W147" s="9"/>
      <c r="X147" s="9"/>
    </row>
    <row r="148" spans="1:24">
      <c r="A148" s="9"/>
      <c r="B148" s="9"/>
      <c r="C148" s="9"/>
      <c r="D148" s="9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9"/>
      <c r="R148" s="9"/>
      <c r="S148" s="9"/>
      <c r="T148" s="9"/>
      <c r="U148" s="9"/>
      <c r="V148" s="9"/>
      <c r="W148" s="9"/>
      <c r="X148" s="9"/>
    </row>
    <row r="149" spans="1:24">
      <c r="A149" s="9"/>
      <c r="B149" s="9"/>
      <c r="C149" s="9"/>
      <c r="D149" s="9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9"/>
      <c r="R149" s="9"/>
      <c r="S149" s="9"/>
      <c r="T149" s="9"/>
      <c r="U149" s="9"/>
      <c r="V149" s="9"/>
      <c r="W149" s="9"/>
      <c r="X149" s="9"/>
    </row>
    <row r="150" spans="1:24">
      <c r="A150" s="9"/>
      <c r="B150" s="9"/>
      <c r="C150" s="9"/>
      <c r="D150" s="9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9"/>
      <c r="R150" s="9"/>
      <c r="S150" s="9"/>
      <c r="T150" s="9"/>
      <c r="U150" s="9"/>
      <c r="V150" s="9"/>
      <c r="W150" s="9"/>
      <c r="X150" s="9"/>
    </row>
    <row r="151" spans="1:24">
      <c r="A151" s="9"/>
      <c r="B151" s="9"/>
      <c r="C151" s="9"/>
      <c r="D151" s="9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9"/>
      <c r="R151" s="9"/>
      <c r="S151" s="9"/>
      <c r="T151" s="9"/>
      <c r="U151" s="9"/>
      <c r="V151" s="9"/>
      <c r="W151" s="9"/>
      <c r="X151" s="9"/>
    </row>
    <row r="152" spans="1:24">
      <c r="A152" s="9"/>
      <c r="B152" s="9"/>
      <c r="C152" s="9"/>
      <c r="D152" s="9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9"/>
      <c r="R152" s="9"/>
      <c r="S152" s="9"/>
      <c r="T152" s="9"/>
      <c r="U152" s="9"/>
      <c r="V152" s="9"/>
      <c r="W152" s="9"/>
      <c r="X152" s="9"/>
    </row>
    <row r="153" spans="1:24">
      <c r="A153" s="9"/>
      <c r="B153" s="9"/>
      <c r="C153" s="9"/>
      <c r="D153" s="9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9"/>
      <c r="R153" s="9"/>
      <c r="S153" s="9"/>
      <c r="T153" s="9"/>
      <c r="U153" s="9"/>
      <c r="V153" s="9"/>
      <c r="W153" s="9"/>
      <c r="X153" s="9"/>
    </row>
    <row r="154" spans="1:24">
      <c r="A154" s="9"/>
      <c r="B154" s="9"/>
      <c r="C154" s="9"/>
      <c r="D154" s="9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9"/>
      <c r="R154" s="9"/>
      <c r="S154" s="9"/>
      <c r="T154" s="9"/>
      <c r="U154" s="9"/>
      <c r="V154" s="9"/>
      <c r="W154" s="9"/>
      <c r="X154" s="9"/>
    </row>
    <row r="155" spans="1:24">
      <c r="A155" s="9"/>
      <c r="B155" s="9"/>
      <c r="C155" s="9"/>
      <c r="D155" s="9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9"/>
      <c r="R155" s="9"/>
      <c r="S155" s="9"/>
      <c r="T155" s="9"/>
      <c r="U155" s="9"/>
      <c r="V155" s="9"/>
      <c r="W155" s="9"/>
      <c r="X155" s="9"/>
    </row>
    <row r="156" spans="1:24">
      <c r="A156" s="9"/>
      <c r="B156" s="9"/>
      <c r="C156" s="9"/>
      <c r="D156" s="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9"/>
      <c r="R156" s="9"/>
      <c r="S156" s="9"/>
      <c r="T156" s="9"/>
      <c r="U156" s="9"/>
      <c r="V156" s="9"/>
      <c r="W156" s="9"/>
      <c r="X156" s="9"/>
    </row>
    <row r="157" spans="1:24">
      <c r="A157" s="9"/>
      <c r="B157" s="9"/>
      <c r="C157" s="9"/>
      <c r="D157" s="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9"/>
      <c r="R157" s="9"/>
      <c r="S157" s="9"/>
      <c r="T157" s="9"/>
      <c r="U157" s="9"/>
      <c r="V157" s="9"/>
      <c r="W157" s="9"/>
      <c r="X157" s="9"/>
    </row>
    <row r="158" spans="1:24">
      <c r="A158" s="9"/>
      <c r="B158" s="9"/>
      <c r="C158" s="9"/>
      <c r="D158" s="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9"/>
      <c r="R158" s="9"/>
      <c r="S158" s="9"/>
      <c r="T158" s="9"/>
      <c r="U158" s="9"/>
      <c r="V158" s="9"/>
      <c r="W158" s="9"/>
      <c r="X158" s="9"/>
    </row>
    <row r="159" spans="1:24">
      <c r="A159" s="9"/>
      <c r="B159" s="9"/>
      <c r="C159" s="9"/>
      <c r="D159" s="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9"/>
      <c r="R159" s="9"/>
      <c r="S159" s="9"/>
      <c r="T159" s="9"/>
      <c r="U159" s="9"/>
      <c r="V159" s="9"/>
      <c r="W159" s="9"/>
      <c r="X159" s="9"/>
    </row>
    <row r="160" spans="1:24">
      <c r="A160" s="9"/>
      <c r="B160" s="9"/>
      <c r="C160" s="9"/>
      <c r="D160" s="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9"/>
      <c r="R160" s="9"/>
      <c r="S160" s="9"/>
      <c r="T160" s="9"/>
      <c r="U160" s="9"/>
      <c r="V160" s="9"/>
      <c r="W160" s="9"/>
      <c r="X160" s="9"/>
    </row>
    <row r="161" spans="1:24">
      <c r="A161" s="9"/>
      <c r="B161" s="9"/>
      <c r="C161" s="9"/>
      <c r="D161" s="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9"/>
      <c r="R161" s="9"/>
      <c r="S161" s="9"/>
      <c r="T161" s="9"/>
      <c r="U161" s="9"/>
      <c r="V161" s="9"/>
      <c r="W161" s="9"/>
      <c r="X161" s="9"/>
    </row>
    <row r="162" spans="1:24">
      <c r="A162" s="9"/>
      <c r="B162" s="9"/>
      <c r="C162" s="9"/>
      <c r="D162" s="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9"/>
      <c r="R162" s="9"/>
      <c r="S162" s="9"/>
      <c r="T162" s="9"/>
      <c r="U162" s="9"/>
      <c r="V162" s="9"/>
      <c r="W162" s="9"/>
      <c r="X162" s="9"/>
    </row>
    <row r="163" spans="1:24">
      <c r="A163" s="9"/>
      <c r="B163" s="9"/>
      <c r="C163" s="9"/>
      <c r="D163" s="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9"/>
      <c r="R163" s="9"/>
      <c r="S163" s="9"/>
      <c r="T163" s="9"/>
      <c r="U163" s="9"/>
      <c r="V163" s="9"/>
      <c r="W163" s="9"/>
      <c r="X163" s="9"/>
    </row>
    <row r="164" spans="1:24">
      <c r="A164" s="9"/>
      <c r="B164" s="9"/>
      <c r="C164" s="9"/>
      <c r="D164" s="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9"/>
      <c r="R164" s="9"/>
      <c r="S164" s="9"/>
      <c r="T164" s="9"/>
      <c r="U164" s="9"/>
      <c r="V164" s="9"/>
      <c r="W164" s="9"/>
      <c r="X164" s="9"/>
    </row>
    <row r="165" spans="1:24">
      <c r="A165" s="9"/>
      <c r="B165" s="9"/>
      <c r="C165" s="9"/>
      <c r="D165" s="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9"/>
      <c r="R165" s="9"/>
      <c r="S165" s="9"/>
      <c r="T165" s="9"/>
      <c r="U165" s="9"/>
      <c r="V165" s="9"/>
      <c r="W165" s="9"/>
      <c r="X165" s="9"/>
    </row>
    <row r="166" spans="1:24">
      <c r="A166" s="9"/>
      <c r="B166" s="9"/>
      <c r="C166" s="9"/>
      <c r="D166" s="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9"/>
      <c r="R166" s="9"/>
      <c r="S166" s="9"/>
      <c r="T166" s="9"/>
      <c r="U166" s="9"/>
      <c r="V166" s="9"/>
      <c r="W166" s="9"/>
      <c r="X166" s="9"/>
    </row>
    <row r="167" spans="1:24">
      <c r="A167" s="9"/>
      <c r="B167" s="9"/>
      <c r="C167" s="9"/>
      <c r="D167" s="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9"/>
      <c r="R167" s="9"/>
      <c r="S167" s="9"/>
      <c r="T167" s="9"/>
      <c r="U167" s="9"/>
      <c r="V167" s="9"/>
      <c r="W167" s="9"/>
      <c r="X167" s="9"/>
    </row>
    <row r="168" spans="1:24">
      <c r="A168" s="9"/>
      <c r="B168" s="9"/>
      <c r="C168" s="9"/>
      <c r="D168" s="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9"/>
      <c r="R168" s="9"/>
      <c r="S168" s="9"/>
      <c r="T168" s="9"/>
      <c r="U168" s="9"/>
      <c r="V168" s="9"/>
      <c r="W168" s="9"/>
      <c r="X168" s="9"/>
    </row>
    <row r="169" spans="1:24">
      <c r="A169" s="9"/>
      <c r="B169" s="9"/>
      <c r="C169" s="9"/>
      <c r="D169" s="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9"/>
      <c r="R169" s="9"/>
      <c r="S169" s="9"/>
      <c r="T169" s="9"/>
      <c r="U169" s="9"/>
      <c r="V169" s="9"/>
      <c r="W169" s="9"/>
      <c r="X169" s="9"/>
    </row>
    <row r="170" spans="1:24">
      <c r="A170" s="9"/>
      <c r="B170" s="9"/>
      <c r="C170" s="9"/>
      <c r="D170" s="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9"/>
      <c r="R170" s="9"/>
      <c r="S170" s="9"/>
      <c r="T170" s="9"/>
      <c r="U170" s="9"/>
      <c r="V170" s="9"/>
      <c r="W170" s="9"/>
      <c r="X170" s="9"/>
    </row>
    <row r="171" spans="1:24">
      <c r="A171" s="9"/>
      <c r="B171" s="9"/>
      <c r="C171" s="9"/>
      <c r="D171" s="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9"/>
      <c r="R171" s="9"/>
      <c r="S171" s="9"/>
      <c r="T171" s="9"/>
      <c r="U171" s="9"/>
      <c r="V171" s="9"/>
      <c r="W171" s="9"/>
      <c r="X171" s="9"/>
    </row>
    <row r="172" spans="1:24">
      <c r="A172" s="9"/>
      <c r="B172" s="9"/>
      <c r="C172" s="9"/>
      <c r="D172" s="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9"/>
      <c r="R172" s="9"/>
      <c r="S172" s="9"/>
      <c r="T172" s="9"/>
      <c r="U172" s="9"/>
      <c r="V172" s="9"/>
      <c r="W172" s="9"/>
      <c r="X172" s="9"/>
    </row>
    <row r="173" spans="1:24">
      <c r="A173" s="9"/>
      <c r="B173" s="9"/>
      <c r="C173" s="9"/>
      <c r="D173" s="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9"/>
      <c r="R173" s="9"/>
      <c r="S173" s="9"/>
      <c r="T173" s="9"/>
      <c r="U173" s="9"/>
      <c r="V173" s="9"/>
      <c r="W173" s="9"/>
      <c r="X173" s="9"/>
    </row>
    <row r="174" spans="1:24">
      <c r="A174" s="9"/>
      <c r="B174" s="9"/>
      <c r="C174" s="9"/>
      <c r="D174" s="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9"/>
      <c r="R174" s="9"/>
      <c r="S174" s="9"/>
      <c r="T174" s="9"/>
      <c r="U174" s="9"/>
      <c r="V174" s="9"/>
      <c r="W174" s="9"/>
      <c r="X174" s="9"/>
    </row>
    <row r="175" spans="1:24">
      <c r="A175" s="9"/>
      <c r="B175" s="9"/>
      <c r="C175" s="9"/>
      <c r="D175" s="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9"/>
      <c r="R175" s="9"/>
      <c r="S175" s="9"/>
      <c r="T175" s="9"/>
      <c r="U175" s="9"/>
      <c r="V175" s="9"/>
      <c r="W175" s="9"/>
      <c r="X175" s="9"/>
    </row>
    <row r="176" spans="1:24">
      <c r="A176" s="9"/>
      <c r="B176" s="9"/>
      <c r="C176" s="9"/>
      <c r="D176" s="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9"/>
      <c r="R176" s="9"/>
      <c r="S176" s="9"/>
      <c r="T176" s="9"/>
      <c r="U176" s="9"/>
      <c r="V176" s="9"/>
      <c r="W176" s="9"/>
      <c r="X176" s="9"/>
    </row>
    <row r="177" spans="1:24">
      <c r="A177" s="9"/>
      <c r="B177" s="9"/>
      <c r="C177" s="9"/>
      <c r="D177" s="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9"/>
      <c r="R177" s="9"/>
      <c r="S177" s="9"/>
      <c r="T177" s="9"/>
      <c r="U177" s="9"/>
      <c r="V177" s="9"/>
      <c r="W177" s="9"/>
      <c r="X177" s="9"/>
    </row>
    <row r="178" spans="1:24">
      <c r="A178" s="9"/>
      <c r="B178" s="9"/>
      <c r="C178" s="9"/>
      <c r="D178" s="9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9"/>
      <c r="R178" s="9"/>
      <c r="S178" s="9"/>
      <c r="T178" s="9"/>
      <c r="U178" s="9"/>
      <c r="V178" s="9"/>
      <c r="W178" s="9"/>
      <c r="X178" s="9"/>
    </row>
    <row r="179" spans="1:24">
      <c r="A179" s="9"/>
      <c r="B179" s="9"/>
      <c r="C179" s="9"/>
      <c r="D179" s="9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9"/>
      <c r="R179" s="9"/>
      <c r="S179" s="9"/>
      <c r="T179" s="9"/>
      <c r="U179" s="9"/>
      <c r="V179" s="9"/>
      <c r="W179" s="9"/>
      <c r="X179" s="9"/>
    </row>
    <row r="180" spans="1:24">
      <c r="A180" s="9"/>
      <c r="B180" s="9"/>
      <c r="C180" s="9"/>
      <c r="D180" s="9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9"/>
      <c r="R180" s="9"/>
      <c r="S180" s="9"/>
      <c r="T180" s="9"/>
      <c r="U180" s="9"/>
      <c r="V180" s="9"/>
      <c r="W180" s="9"/>
      <c r="X180" s="9"/>
    </row>
    <row r="181" spans="1:24">
      <c r="A181" s="9"/>
      <c r="B181" s="9"/>
      <c r="C181" s="9"/>
      <c r="D181" s="9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9"/>
      <c r="R181" s="9"/>
      <c r="S181" s="9"/>
      <c r="T181" s="9"/>
      <c r="U181" s="9"/>
      <c r="V181" s="9"/>
      <c r="W181" s="9"/>
      <c r="X181" s="9"/>
    </row>
    <row r="182" spans="1:24">
      <c r="A182" s="9"/>
      <c r="B182" s="9"/>
      <c r="C182" s="9"/>
      <c r="D182" s="9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9"/>
      <c r="R182" s="9"/>
      <c r="S182" s="9"/>
      <c r="T182" s="9"/>
      <c r="U182" s="9"/>
      <c r="V182" s="9"/>
      <c r="W182" s="9"/>
      <c r="X182" s="9"/>
    </row>
    <row r="183" spans="1:24">
      <c r="A183" s="9"/>
      <c r="B183" s="9"/>
      <c r="C183" s="9"/>
      <c r="D183" s="9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9"/>
      <c r="R183" s="9"/>
      <c r="S183" s="9"/>
      <c r="T183" s="9"/>
      <c r="U183" s="9"/>
      <c r="V183" s="9"/>
      <c r="W183" s="9"/>
      <c r="X183" s="9"/>
    </row>
    <row r="184" spans="1:24">
      <c r="A184" s="9"/>
      <c r="B184" s="9"/>
      <c r="C184" s="9"/>
      <c r="D184" s="9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9"/>
      <c r="R184" s="9"/>
      <c r="S184" s="9"/>
      <c r="T184" s="9"/>
      <c r="U184" s="9"/>
      <c r="V184" s="9"/>
      <c r="W184" s="9"/>
      <c r="X184" s="9"/>
    </row>
    <row r="185" spans="1:24">
      <c r="A185" s="9"/>
      <c r="B185" s="9"/>
      <c r="C185" s="9"/>
      <c r="D185" s="9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9"/>
      <c r="R185" s="9"/>
      <c r="S185" s="9"/>
      <c r="T185" s="9"/>
      <c r="U185" s="9"/>
      <c r="V185" s="9"/>
      <c r="W185" s="9"/>
      <c r="X185" s="9"/>
    </row>
    <row r="186" spans="1:24">
      <c r="A186" s="9"/>
      <c r="B186" s="9"/>
      <c r="C186" s="9"/>
      <c r="D186" s="9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9"/>
      <c r="R186" s="9"/>
      <c r="S186" s="9"/>
      <c r="T186" s="9"/>
      <c r="U186" s="9"/>
      <c r="V186" s="9"/>
      <c r="W186" s="9"/>
      <c r="X186" s="9"/>
    </row>
    <row r="187" spans="1:24">
      <c r="A187" s="9"/>
      <c r="B187" s="9"/>
      <c r="C187" s="9"/>
      <c r="D187" s="9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9"/>
      <c r="R187" s="9"/>
      <c r="S187" s="9"/>
      <c r="T187" s="9"/>
      <c r="U187" s="9"/>
      <c r="V187" s="9"/>
      <c r="W187" s="9"/>
      <c r="X187" s="9"/>
    </row>
    <row r="188" spans="1:24">
      <c r="A188" s="9"/>
      <c r="B188" s="9"/>
      <c r="C188" s="9"/>
      <c r="D188" s="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9"/>
      <c r="R188" s="9"/>
      <c r="S188" s="9"/>
      <c r="T188" s="9"/>
      <c r="U188" s="9"/>
      <c r="V188" s="9"/>
      <c r="W188" s="9"/>
      <c r="X188" s="9"/>
    </row>
    <row r="189" spans="1:24">
      <c r="A189" s="9"/>
      <c r="B189" s="9"/>
      <c r="C189" s="9"/>
      <c r="D189" s="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9"/>
      <c r="R189" s="9"/>
      <c r="S189" s="9"/>
      <c r="T189" s="9"/>
      <c r="U189" s="9"/>
      <c r="V189" s="9"/>
      <c r="W189" s="9"/>
      <c r="X189" s="9"/>
    </row>
    <row r="190" spans="1:24">
      <c r="A190" s="9"/>
      <c r="B190" s="9"/>
      <c r="C190" s="9"/>
      <c r="D190" s="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9"/>
      <c r="R190" s="9"/>
      <c r="S190" s="9"/>
      <c r="T190" s="9"/>
      <c r="U190" s="9"/>
      <c r="V190" s="9"/>
      <c r="W190" s="9"/>
      <c r="X190" s="9"/>
    </row>
    <row r="191" spans="1:24">
      <c r="A191" s="9"/>
      <c r="B191" s="9"/>
      <c r="C191" s="9"/>
      <c r="D191" s="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9"/>
      <c r="R191" s="9"/>
      <c r="S191" s="9"/>
      <c r="T191" s="9"/>
      <c r="U191" s="9"/>
      <c r="V191" s="9"/>
      <c r="W191" s="9"/>
      <c r="X191" s="9"/>
    </row>
    <row r="192" spans="1:24">
      <c r="A192" s="9"/>
      <c r="B192" s="9"/>
      <c r="C192" s="9"/>
      <c r="D192" s="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9"/>
      <c r="R192" s="9"/>
      <c r="S192" s="9"/>
      <c r="T192" s="9"/>
      <c r="U192" s="9"/>
      <c r="V192" s="9"/>
      <c r="W192" s="9"/>
      <c r="X192" s="9"/>
    </row>
    <row r="193" spans="1:24">
      <c r="A193" s="9"/>
      <c r="B193" s="9"/>
      <c r="C193" s="9"/>
      <c r="D193" s="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9"/>
      <c r="R193" s="9"/>
      <c r="S193" s="9"/>
      <c r="T193" s="9"/>
      <c r="U193" s="9"/>
      <c r="V193" s="9"/>
      <c r="W193" s="9"/>
      <c r="X193" s="9"/>
    </row>
    <row r="194" spans="1:24">
      <c r="A194" s="9"/>
      <c r="B194" s="9"/>
      <c r="C194" s="9"/>
      <c r="D194" s="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9"/>
      <c r="R194" s="9"/>
      <c r="S194" s="9"/>
      <c r="T194" s="9"/>
      <c r="U194" s="9"/>
      <c r="V194" s="9"/>
      <c r="W194" s="9"/>
      <c r="X194" s="9"/>
    </row>
    <row r="195" spans="1:24">
      <c r="A195" s="9"/>
      <c r="B195" s="9"/>
      <c r="C195" s="9"/>
      <c r="D195" s="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9"/>
      <c r="R195" s="9"/>
      <c r="S195" s="9"/>
      <c r="T195" s="9"/>
      <c r="U195" s="9"/>
      <c r="V195" s="9"/>
      <c r="W195" s="9"/>
      <c r="X195" s="9"/>
    </row>
    <row r="196" spans="1:24">
      <c r="A196" s="9"/>
      <c r="B196" s="9"/>
      <c r="C196" s="9"/>
      <c r="D196" s="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9"/>
      <c r="R196" s="9"/>
      <c r="S196" s="9"/>
      <c r="T196" s="9"/>
      <c r="U196" s="9"/>
      <c r="V196" s="9"/>
      <c r="W196" s="9"/>
      <c r="X196" s="9"/>
    </row>
    <row r="197" spans="1:24">
      <c r="A197" s="9"/>
      <c r="B197" s="9"/>
      <c r="C197" s="9"/>
      <c r="D197" s="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9"/>
      <c r="R197" s="9"/>
      <c r="S197" s="9"/>
      <c r="T197" s="9"/>
      <c r="U197" s="9"/>
      <c r="V197" s="9"/>
      <c r="W197" s="9"/>
      <c r="X197" s="9"/>
    </row>
    <row r="198" spans="1:24">
      <c r="A198" s="9"/>
      <c r="B198" s="9"/>
      <c r="C198" s="9"/>
      <c r="D198" s="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9"/>
      <c r="R198" s="9"/>
      <c r="S198" s="9"/>
      <c r="T198" s="9"/>
      <c r="U198" s="9"/>
      <c r="V198" s="9"/>
      <c r="W198" s="9"/>
      <c r="X198" s="9"/>
    </row>
    <row r="199" spans="1:24">
      <c r="A199" s="9"/>
      <c r="B199" s="9"/>
      <c r="C199" s="9"/>
      <c r="D199" s="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9"/>
      <c r="R199" s="9"/>
      <c r="S199" s="9"/>
      <c r="T199" s="9"/>
      <c r="U199" s="9"/>
      <c r="V199" s="9"/>
      <c r="W199" s="9"/>
      <c r="X199" s="9"/>
    </row>
    <row r="200" spans="1:24">
      <c r="A200" s="9"/>
      <c r="B200" s="9"/>
      <c r="C200" s="9"/>
      <c r="D200" s="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9"/>
      <c r="R200" s="9"/>
      <c r="S200" s="9"/>
      <c r="T200" s="9"/>
      <c r="U200" s="9"/>
      <c r="V200" s="9"/>
      <c r="W200" s="9"/>
      <c r="X200" s="9"/>
    </row>
    <row r="201" spans="1:24">
      <c r="A201" s="9"/>
      <c r="B201" s="9"/>
      <c r="C201" s="9"/>
      <c r="D201" s="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9"/>
      <c r="R201" s="9"/>
      <c r="S201" s="9"/>
      <c r="T201" s="9"/>
      <c r="U201" s="9"/>
      <c r="V201" s="9"/>
      <c r="W201" s="9"/>
      <c r="X201" s="9"/>
    </row>
    <row r="202" spans="1:24">
      <c r="A202" s="9"/>
      <c r="B202" s="9"/>
      <c r="C202" s="9"/>
      <c r="D202" s="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9"/>
      <c r="R202" s="9"/>
      <c r="S202" s="9"/>
      <c r="T202" s="9"/>
      <c r="U202" s="9"/>
      <c r="V202" s="9"/>
      <c r="W202" s="9"/>
      <c r="X202" s="9"/>
    </row>
    <row r="203" spans="1:24">
      <c r="A203" s="9"/>
      <c r="B203" s="9"/>
      <c r="C203" s="9"/>
      <c r="D203" s="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9"/>
      <c r="R203" s="9"/>
      <c r="S203" s="9"/>
      <c r="T203" s="9"/>
      <c r="U203" s="9"/>
      <c r="V203" s="9"/>
      <c r="W203" s="9"/>
      <c r="X203" s="9"/>
    </row>
    <row r="204" spans="1:24">
      <c r="A204" s="9"/>
      <c r="B204" s="9"/>
      <c r="C204" s="9"/>
      <c r="D204" s="9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9"/>
      <c r="R204" s="9"/>
      <c r="S204" s="9"/>
      <c r="T204" s="9"/>
      <c r="U204" s="9"/>
      <c r="V204" s="9"/>
      <c r="W204" s="9"/>
      <c r="X204" s="9"/>
    </row>
    <row r="205" spans="1:24">
      <c r="A205" s="9"/>
      <c r="B205" s="9"/>
      <c r="C205" s="9"/>
      <c r="D205" s="9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9"/>
      <c r="R205" s="9"/>
      <c r="S205" s="9"/>
      <c r="T205" s="9"/>
      <c r="U205" s="9"/>
      <c r="V205" s="9"/>
      <c r="W205" s="9"/>
      <c r="X205" s="9"/>
    </row>
    <row r="206" spans="1:24">
      <c r="A206" s="9"/>
      <c r="B206" s="9"/>
      <c r="C206" s="9"/>
      <c r="D206" s="9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9"/>
      <c r="R206" s="9"/>
      <c r="S206" s="9"/>
      <c r="T206" s="9"/>
      <c r="U206" s="9"/>
      <c r="V206" s="9"/>
      <c r="W206" s="9"/>
      <c r="X206" s="9"/>
    </row>
    <row r="207" spans="1:24">
      <c r="A207" s="9"/>
      <c r="B207" s="9"/>
      <c r="C207" s="9"/>
      <c r="D207" s="9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9"/>
      <c r="R207" s="9"/>
      <c r="S207" s="9"/>
      <c r="T207" s="9"/>
      <c r="U207" s="9"/>
      <c r="V207" s="9"/>
      <c r="W207" s="9"/>
      <c r="X207" s="9"/>
    </row>
    <row r="208" spans="1:24">
      <c r="A208" s="9"/>
      <c r="B208" s="9"/>
      <c r="C208" s="9"/>
      <c r="D208" s="9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9"/>
      <c r="R208" s="9"/>
      <c r="S208" s="9"/>
      <c r="T208" s="9"/>
      <c r="U208" s="9"/>
      <c r="V208" s="9"/>
      <c r="W208" s="9"/>
      <c r="X208" s="9"/>
    </row>
    <row r="209" spans="1:24">
      <c r="A209" s="9"/>
      <c r="B209" s="9"/>
      <c r="C209" s="9"/>
      <c r="D209" s="9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9"/>
      <c r="R209" s="9"/>
      <c r="S209" s="9"/>
      <c r="T209" s="9"/>
      <c r="U209" s="9"/>
      <c r="V209" s="9"/>
      <c r="W209" s="9"/>
      <c r="X209" s="9"/>
    </row>
    <row r="210" spans="1:24">
      <c r="A210" s="9"/>
      <c r="B210" s="9"/>
      <c r="C210" s="9"/>
      <c r="D210" s="9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9"/>
      <c r="R210" s="9"/>
      <c r="S210" s="9"/>
      <c r="T210" s="9"/>
      <c r="U210" s="9"/>
      <c r="V210" s="9"/>
      <c r="W210" s="9"/>
      <c r="X210" s="9"/>
    </row>
    <row r="211" spans="1:24">
      <c r="A211" s="9"/>
      <c r="B211" s="9"/>
      <c r="C211" s="9"/>
      <c r="D211" s="9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9"/>
      <c r="R211" s="9"/>
      <c r="S211" s="9"/>
      <c r="T211" s="9"/>
      <c r="U211" s="9"/>
      <c r="V211" s="9"/>
      <c r="W211" s="9"/>
      <c r="X211" s="9"/>
    </row>
    <row r="212" spans="1:24">
      <c r="A212" s="9"/>
      <c r="B212" s="9"/>
      <c r="C212" s="9"/>
      <c r="D212" s="9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9"/>
      <c r="R212" s="9"/>
      <c r="S212" s="9"/>
      <c r="T212" s="9"/>
      <c r="U212" s="9"/>
      <c r="V212" s="9"/>
      <c r="W212" s="9"/>
      <c r="X212" s="9"/>
    </row>
    <row r="213" spans="1:24">
      <c r="A213" s="9"/>
      <c r="B213" s="9"/>
      <c r="C213" s="9"/>
      <c r="D213" s="9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9"/>
      <c r="R213" s="9"/>
      <c r="S213" s="9"/>
      <c r="T213" s="9"/>
      <c r="U213" s="9"/>
      <c r="V213" s="9"/>
      <c r="W213" s="9"/>
      <c r="X213" s="9"/>
    </row>
    <row r="214" spans="1:24">
      <c r="A214" s="9"/>
      <c r="B214" s="9"/>
      <c r="C214" s="9"/>
      <c r="D214" s="9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9"/>
      <c r="R214" s="9"/>
      <c r="S214" s="9"/>
      <c r="T214" s="9"/>
      <c r="U214" s="9"/>
      <c r="V214" s="9"/>
      <c r="W214" s="9"/>
      <c r="X214" s="9"/>
    </row>
    <row r="215" spans="1:24">
      <c r="A215" s="9"/>
      <c r="B215" s="9"/>
      <c r="C215" s="9"/>
      <c r="D215" s="9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9"/>
      <c r="R215" s="9"/>
      <c r="S215" s="9"/>
      <c r="T215" s="9"/>
      <c r="U215" s="9"/>
      <c r="V215" s="9"/>
      <c r="W215" s="9"/>
      <c r="X215" s="9"/>
    </row>
    <row r="216" spans="1:24">
      <c r="A216" s="9"/>
      <c r="B216" s="9"/>
      <c r="C216" s="9"/>
      <c r="D216" s="9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9"/>
      <c r="R216" s="9"/>
      <c r="S216" s="9"/>
      <c r="T216" s="9"/>
      <c r="U216" s="9"/>
      <c r="V216" s="9"/>
      <c r="W216" s="9"/>
      <c r="X216" s="9"/>
    </row>
    <row r="217" spans="1:24">
      <c r="A217" s="9"/>
      <c r="B217" s="9"/>
      <c r="C217" s="9"/>
      <c r="D217" s="9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9"/>
      <c r="R217" s="9"/>
      <c r="S217" s="9"/>
      <c r="T217" s="9"/>
      <c r="U217" s="9"/>
      <c r="V217" s="9"/>
      <c r="W217" s="9"/>
      <c r="X217" s="9"/>
    </row>
    <row r="218" spans="1:24">
      <c r="A218" s="9"/>
      <c r="B218" s="9"/>
      <c r="C218" s="9"/>
      <c r="D218" s="9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9"/>
      <c r="R218" s="9"/>
      <c r="S218" s="9"/>
      <c r="T218" s="9"/>
      <c r="U218" s="9"/>
      <c r="V218" s="9"/>
      <c r="W218" s="9"/>
      <c r="X218" s="9"/>
    </row>
  </sheetData>
  <mergeCells count="25">
    <mergeCell ref="A3:D3"/>
    <mergeCell ref="A6:C9"/>
    <mergeCell ref="A4:D4"/>
    <mergeCell ref="A5:D5"/>
    <mergeCell ref="A76:C81"/>
    <mergeCell ref="B23:C23"/>
    <mergeCell ref="C24:C26"/>
    <mergeCell ref="C28:C30"/>
    <mergeCell ref="C65:C68"/>
    <mergeCell ref="A65:B74"/>
    <mergeCell ref="C42:C46"/>
    <mergeCell ref="C56:C58"/>
    <mergeCell ref="C32:C33"/>
    <mergeCell ref="A42:B54"/>
    <mergeCell ref="A56:B63"/>
    <mergeCell ref="C48:C49"/>
    <mergeCell ref="A24:B40"/>
    <mergeCell ref="K30:L30"/>
    <mergeCell ref="K26:L26"/>
    <mergeCell ref="K32:L32"/>
    <mergeCell ref="K33:L33"/>
    <mergeCell ref="A10:C12"/>
    <mergeCell ref="A16:C20"/>
    <mergeCell ref="A13:C15"/>
    <mergeCell ref="A21:C22"/>
  </mergeCells>
  <phoneticPr fontId="2" type="noConversion"/>
  <conditionalFormatting sqref="E81:I81">
    <cfRule type="cellIs" dxfId="0" priority="1" stopIfTrue="1" operator="lessThan">
      <formula>0</formula>
    </cfRule>
  </conditionalFormatting>
  <hyperlinks>
    <hyperlink ref="A5" r:id="rId1" xr:uid="{D2442760-1FDE-48C5-A0D0-C2FA5FEB3160}"/>
  </hyperlinks>
  <printOptions horizontalCentered="1"/>
  <pageMargins left="0.43" right="0.44" top="0.27" bottom="0.23" header="0.18" footer="0.15"/>
  <pageSetup paperSize="9" scale="45" orientation="landscape" horizontalDpi="300" verticalDpi="300" r:id="rId2"/>
  <headerFooter alignWithMargins="0"/>
  <rowBreaks count="1" manualBreakCount="1">
    <brk id="54" max="16383" man="1"/>
  </rowBreaks>
  <ignoredErrors>
    <ignoredError sqref="E40:I40 E54:I54 E63:I63 E74:I74" evalError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Listas de itens</vt:lpstr>
      <vt:lpstr>'Listas de itens'!Titulos_de_impressao</vt:lpstr>
    </vt:vector>
  </TitlesOfParts>
  <Company>Bovespa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CBariquelli</dc:creator>
  <cp:lastModifiedBy>Guilherme Andrade</cp:lastModifiedBy>
  <cp:lastPrinted>2009-02-19T19:02:42Z</cp:lastPrinted>
  <dcterms:created xsi:type="dcterms:W3CDTF">2009-01-29T12:43:36Z</dcterms:created>
  <dcterms:modified xsi:type="dcterms:W3CDTF">2019-10-01T13:14:43Z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